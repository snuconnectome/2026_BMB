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행사견적" sheetId="1" r:id="rId4"/>
    <sheet state="visible" name="행사견적서 수정" sheetId="2" r:id="rId5"/>
    <sheet state="hidden" name="행사견적서" sheetId="3" r:id="rId6"/>
    <sheet state="hidden" name="개별연구 참석명단" sheetId="4" r:id="rId7"/>
    <sheet state="hidden" name="예산진척 및 행사견적서" sheetId="5" r:id="rId8"/>
    <sheet state="hidden" name="예산진척" sheetId="6" r:id="rId9"/>
    <sheet state="hidden" name="참여인원" sheetId="7" r:id="rId10"/>
    <sheet state="hidden" name="예산(예상)" sheetId="8" r:id="rId11"/>
    <sheet state="hidden" name="식사 및 공간 정보" sheetId="9" r:id="rId12"/>
    <sheet state="hidden" name="인문대학 대여공간" sheetId="10" r:id="rId13"/>
  </sheets>
  <definedNames>
    <definedName hidden="1" localSheetId="3" name="_xlnm._FilterDatabase">'개별연구 참석명단'!$A$2:$E$24</definedName>
    <definedName hidden="1" localSheetId="9" name="_xlnm._FilterDatabase">'인문대학 대여공간'!$A$3:$I$81</definedName>
  </definedNames>
  <calcPr/>
  <extLst>
    <ext uri="GoogleSheetsCustomDataVersion2">
      <go:sheetsCustomData xmlns:go="http://customooxmlschemas.google.com/" r:id="rId14" roundtripDataChecksum="JkkWmcGyA0YSCJOgrcnLiuBaO5t0rXEHuXUUdsJc428="/>
    </ext>
  </extLst>
</workbook>
</file>

<file path=xl/sharedStrings.xml><?xml version="1.0" encoding="utf-8"?>
<sst xmlns="http://schemas.openxmlformats.org/spreadsheetml/2006/main" count="1654" uniqueCount="409">
  <si>
    <t>*뇌마음행동 예산 진척</t>
  </si>
  <si>
    <t>예산과목</t>
  </si>
  <si>
    <t>배정액</t>
  </si>
  <si>
    <t>소진액</t>
  </si>
  <si>
    <t>잔여액</t>
  </si>
  <si>
    <t>소진 예정계획</t>
  </si>
  <si>
    <t>관</t>
  </si>
  <si>
    <t>항</t>
  </si>
  <si>
    <t>목</t>
  </si>
  <si>
    <t>세목</t>
  </si>
  <si>
    <t>세부</t>
  </si>
  <si>
    <t>관리운영비</t>
  </si>
  <si>
    <t>운영비</t>
  </si>
  <si>
    <t>기타운영비</t>
  </si>
  <si>
    <t>-</t>
  </si>
  <si>
    <t>전용 가능하여 부족한 예산 보충 가능</t>
  </si>
  <si>
    <t>일반운영비</t>
  </si>
  <si>
    <t>회의비</t>
  </si>
  <si>
    <t>미정</t>
  </si>
  <si>
    <t>일반관리비</t>
  </si>
  <si>
    <t>소모품비</t>
  </si>
  <si>
    <t>일반용역비</t>
  </si>
  <si>
    <t>전용하여 특별강의료로 이용 가능</t>
  </si>
  <si>
    <t>인건비</t>
  </si>
  <si>
    <t>직원인건비등</t>
  </si>
  <si>
    <t>일용임금</t>
  </si>
  <si>
    <t>일용임금기타운영비</t>
  </si>
  <si>
    <t>조교 인건비</t>
  </si>
  <si>
    <t>교육지원비 
(대학혁신)</t>
  </si>
  <si>
    <t>특별강의료</t>
  </si>
  <si>
    <t>심리학과 특강 특별강의료</t>
  </si>
  <si>
    <t>행사비</t>
  </si>
  <si>
    <t>개별연구 발표회(저녁만찬, 다과-케이터링, 기념품, 우수상품)</t>
  </si>
  <si>
    <t>교육지원비</t>
  </si>
  <si>
    <t xml:space="preserve"> </t>
  </si>
  <si>
    <t>*뇌마음행동 개별연구 발표회 행사견적_최종</t>
  </si>
  <si>
    <t>예산구분</t>
  </si>
  <si>
    <t>항목</t>
  </si>
  <si>
    <t>가격</t>
  </si>
  <si>
    <t>수량</t>
  </si>
  <si>
    <t>총액</t>
  </si>
  <si>
    <t>비고</t>
  </si>
  <si>
    <t>구매/대여 진행여부</t>
  </si>
  <si>
    <t>대학혁신</t>
  </si>
  <si>
    <t>공간대여</t>
  </si>
  <si>
    <t>아시아연구소 210호</t>
  </si>
  <si>
    <t>완료</t>
  </si>
  <si>
    <t>저녁만찬</t>
  </si>
  <si>
    <t>자하연 3층</t>
  </si>
  <si>
    <t>상품</t>
  </si>
  <si>
    <t>1등</t>
  </si>
  <si>
    <t>아이패드 에어11(스페이스 그레이)/추가옵션 X</t>
  </si>
  <si>
    <t>주문완료/배송예정</t>
  </si>
  <si>
    <t>2등</t>
  </si>
  <si>
    <t>보스헤드셋(화이트 스모크)</t>
  </si>
  <si>
    <t>3등</t>
  </si>
  <si>
    <t>에어팟4 액티브 노이즈 캔슬링/각인 등 옵션X</t>
  </si>
  <si>
    <t>다과</t>
  </si>
  <si>
    <t>음료</t>
  </si>
  <si>
    <t>470ml  24개 *2</t>
  </si>
  <si>
    <t>배송 예정</t>
  </si>
  <si>
    <t>물</t>
  </si>
  <si>
    <t>500ml 40개</t>
  </si>
  <si>
    <t>쿠키</t>
  </si>
  <si>
    <t>그레인스 쿠키</t>
  </si>
  <si>
    <t>기념품</t>
  </si>
  <si>
    <t>보조배터리</t>
  </si>
  <si>
    <t>판넬대여</t>
  </si>
  <si>
    <t>이동식 판넬</t>
  </si>
  <si>
    <t>문의/견적 완료, 현장결제예정</t>
  </si>
  <si>
    <t>상장 커버</t>
  </si>
  <si>
    <t>명찰</t>
  </si>
  <si>
    <t>자체예산</t>
  </si>
  <si>
    <t>라벨내지</t>
  </si>
  <si>
    <t>명찰 및 이후 물품에 표시 용도</t>
  </si>
  <si>
    <t>라벨프린터</t>
  </si>
  <si>
    <t>포스터 인쇄(학생)</t>
  </si>
  <si>
    <t>취합 후  직접 인쇄</t>
  </si>
  <si>
    <t>문의완료, 선결제 예정</t>
  </si>
  <si>
    <t>포스터 인쇄(홍보)</t>
  </si>
  <si>
    <t>연구실로 배달</t>
  </si>
  <si>
    <t>배달예정</t>
  </si>
  <si>
    <t>총 금액 합계</t>
  </si>
  <si>
    <t>회의비(전용)</t>
  </si>
  <si>
    <t>소진 예정액</t>
  </si>
  <si>
    <t>*행사견적서</t>
  </si>
  <si>
    <t>링크</t>
  </si>
  <si>
    <t>아이패드</t>
  </si>
  <si>
    <t>보스헤드셋</t>
  </si>
  <si>
    <t>헤드셋</t>
  </si>
  <si>
    <t>에어팟4 노이즈 캔슬링</t>
  </si>
  <si>
    <t>에어팟</t>
  </si>
  <si>
    <t>커피</t>
  </si>
  <si>
    <t>300ml 40개</t>
  </si>
  <si>
    <t>생수</t>
  </si>
  <si>
    <t>각인 우산</t>
  </si>
  <si>
    <t>우산</t>
  </si>
  <si>
    <t>쿠팡</t>
  </si>
  <si>
    <t>포스터 인쇄</t>
  </si>
  <si>
    <t>내가 인쇄하러 가야함ㅗ</t>
  </si>
  <si>
    <t>포스터</t>
  </si>
  <si>
    <t>►해당금액은 행사 전체 사용예정 금액입니다. 
(교육지원비 제외)</t>
  </si>
  <si>
    <t>►해당금액은 남을 예정인 행사비입니다.</t>
  </si>
  <si>
    <t>회의비 40정도 행사비로 옮기기 ..?</t>
  </si>
  <si>
    <t>쿠키 세박스 …</t>
  </si>
  <si>
    <t>기념품도 넉넉하게 ..</t>
  </si>
  <si>
    <t xml:space="preserve">1안 </t>
  </si>
  <si>
    <t>: 3등 3명에서 2명으로, 커피 x, 각인 우산 개수 ↓</t>
  </si>
  <si>
    <t>3안</t>
  </si>
  <si>
    <t>: 커피 인원수에 맞게 최소로,기념품(각인 우산) x</t>
  </si>
  <si>
    <t>예산</t>
  </si>
  <si>
    <t>목적</t>
  </si>
  <si>
    <t>상세</t>
  </si>
  <si>
    <t>진행여부</t>
  </si>
  <si>
    <t>아시아연구소</t>
  </si>
  <si>
    <t>210호</t>
  </si>
  <si>
    <t>자하연3층</t>
  </si>
  <si>
    <t>개별연구 참여자+랩실+강박사님</t>
  </si>
  <si>
    <t>1등(아이패드)</t>
  </si>
  <si>
    <t>2등(보스헤드셋)</t>
  </si>
  <si>
    <t>3등(에어팟)</t>
  </si>
  <si>
    <t>투썸 아메리카노</t>
  </si>
  <si>
    <t>생수 300ml 40개</t>
  </si>
  <si>
    <t>파이비스킷</t>
  </si>
  <si>
    <t>각인우산</t>
  </si>
  <si>
    <t>포스터인쇄</t>
  </si>
  <si>
    <t>외부업체 선결제 후 학생들이 인쇄</t>
  </si>
  <si>
    <t>합계 (행사비만)</t>
  </si>
  <si>
    <t>합계 (행사비+교육지원비)</t>
  </si>
  <si>
    <t>2안</t>
  </si>
  <si>
    <t>:2등 2명에서 1명으로,  각인 우산 개수 ↓</t>
  </si>
  <si>
    <t>직책</t>
  </si>
  <si>
    <t>이름</t>
  </si>
  <si>
    <t>학과</t>
  </si>
  <si>
    <t>이메일</t>
  </si>
  <si>
    <t>참석 행사</t>
  </si>
  <si>
    <t>학생</t>
  </si>
  <si>
    <t>곽승연</t>
  </si>
  <si>
    <t>자유전공학부</t>
  </si>
  <si>
    <t>tmddus0723@snu.ac.kr</t>
  </si>
  <si>
    <t>_x0008_개별연구 발표회(오후 2시 예정), _x0008_저녁 만찬(오후 5시 예정)</t>
  </si>
  <si>
    <t>권지헌</t>
  </si>
  <si>
    <t>인류학과</t>
  </si>
  <si>
    <t>honey2546@snu.ac.kr</t>
  </si>
  <si>
    <t>_x0008_개별연구 발표회(오후 2시 예정)</t>
  </si>
  <si>
    <t>김규리</t>
  </si>
  <si>
    <t>아동가족학과</t>
  </si>
  <si>
    <t>gyuriorange@naver.com</t>
  </si>
  <si>
    <t>김명진</t>
  </si>
  <si>
    <t>경제학부</t>
  </si>
  <si>
    <t>kmj081722@snu.ac.kr</t>
  </si>
  <si>
    <t>김주원</t>
  </si>
  <si>
    <t>심리학과</t>
  </si>
  <si>
    <t>juwon1365@snu.ac.kr</t>
  </si>
  <si>
    <t>나동현</t>
  </si>
  <si>
    <t>snundh0110@gmail.com</t>
  </si>
  <si>
    <t>남가현</t>
  </si>
  <si>
    <t>조경학과</t>
  </si>
  <si>
    <t>imomo0407@snu.ac.kr</t>
  </si>
  <si>
    <t>박준서</t>
  </si>
  <si>
    <t>환경재료과학</t>
  </si>
  <si>
    <t>junseopark@snu.ac.kr</t>
  </si>
  <si>
    <t>교수</t>
  </si>
  <si>
    <t>박한선</t>
  </si>
  <si>
    <t>hansonpark@snu.ac.kr</t>
  </si>
  <si>
    <t>배두리</t>
  </si>
  <si>
    <t>생명과학부</t>
  </si>
  <si>
    <t>22yulgok@snu.ac.kr</t>
  </si>
  <si>
    <t>소현우</t>
  </si>
  <si>
    <t>화학부</t>
  </si>
  <si>
    <t>hwso2004@snu.ac.kr</t>
  </si>
  <si>
    <t>신수연</t>
  </si>
  <si>
    <t>언론정보학과</t>
  </si>
  <si>
    <t>shinsy@snu.ac.kr</t>
  </si>
  <si>
    <t>안우영</t>
  </si>
  <si>
    <t>wahn55@snu.ac.kr</t>
  </si>
  <si>
    <t>이수현</t>
  </si>
  <si>
    <t>suehlee@snu.ac.kr</t>
  </si>
  <si>
    <t>_x0008_개별연구 발표회 참석(오후 2시 예정), _x0008_저녁 만찬 참석(오후 5시 예정)</t>
  </si>
  <si>
    <t>이채영</t>
  </si>
  <si>
    <t>간호학과</t>
  </si>
  <si>
    <t>leecy0130@snu.ac.kr</t>
  </si>
  <si>
    <t>이태양</t>
  </si>
  <si>
    <t>rlaxodid5539@snu.ac.kr</t>
  </si>
  <si>
    <t>임희경</t>
  </si>
  <si>
    <t>언어학과</t>
  </si>
  <si>
    <t>alice664@snu.ac.kr</t>
  </si>
  <si>
    <t>장준호</t>
  </si>
  <si>
    <t>8729wnsgh@snu.ac.kr</t>
  </si>
  <si>
    <t>정경섭</t>
  </si>
  <si>
    <t>ksjeong321@snu.ac.kr</t>
  </si>
  <si>
    <t>조현희</t>
  </si>
  <si>
    <t>gusgml520@snu.ac.kr</t>
  </si>
  <si>
    <t>차민경</t>
  </si>
  <si>
    <t>cmk4911@snu.ac.kr</t>
  </si>
  <si>
    <t>최은지</t>
  </si>
  <si>
    <t>cej1118@snu.ac.kr</t>
  </si>
  <si>
    <t>강준영 박사님도 식사 추가</t>
  </si>
  <si>
    <t>미리 구매예정</t>
  </si>
  <si>
    <t>커피(투썸), 물</t>
  </si>
  <si>
    <t>당일 구매예정</t>
  </si>
  <si>
    <t>생수 40개 11000원</t>
  </si>
  <si>
    <t>투썸 배송</t>
  </si>
  <si>
    <t>대여문의 예정/출장비용 추가 예상</t>
  </si>
  <si>
    <t>포스터 설치 12시 반</t>
  </si>
  <si>
    <t>선결제 후 학생들이 인쇄</t>
  </si>
  <si>
    <t>행사견적서</t>
  </si>
  <si>
    <t>커피, 물, 쿠키</t>
  </si>
  <si>
    <t>보조배터리(각인)</t>
  </si>
  <si>
    <t>: 문의 해야함</t>
  </si>
  <si>
    <t>: 구매 해야함</t>
  </si>
  <si>
    <t>바퀴달린 전자칠판 (2개)--&gt;교육지원비에서 사용가능한지 문의</t>
  </si>
  <si>
    <t>* 개별연구 발표회 및 저녁만찬 신청현황</t>
  </si>
  <si>
    <t>*개별연구생 중 미신청자</t>
  </si>
  <si>
    <t>소속학과</t>
  </si>
  <si>
    <t>개별연구 참여여부</t>
  </si>
  <si>
    <t>개별연구 랩실</t>
  </si>
  <si>
    <t>발표회</t>
  </si>
  <si>
    <t>수강생</t>
  </si>
  <si>
    <t>x</t>
  </si>
  <si>
    <t>o</t>
  </si>
  <si>
    <t>조경/지역시스템 공학부</t>
  </si>
  <si>
    <t>이상아</t>
  </si>
  <si>
    <t>노경희</t>
  </si>
  <si>
    <t>오지혜</t>
  </si>
  <si>
    <t>이주하</t>
  </si>
  <si>
    <t>김정아</t>
  </si>
  <si>
    <t>식품영양학과</t>
  </si>
  <si>
    <t>정유한</t>
  </si>
  <si>
    <t>신혜영</t>
  </si>
  <si>
    <t>*공간 대여 현황</t>
  </si>
  <si>
    <t>이교구</t>
  </si>
  <si>
    <t>장소명</t>
  </si>
  <si>
    <t>수용인원</t>
  </si>
  <si>
    <t>아시아연구소210호</t>
  </si>
  <si>
    <t>110명</t>
  </si>
  <si>
    <t>아시아연구소230호</t>
  </si>
  <si>
    <t>50명</t>
  </si>
  <si>
    <t>210호 안될시 230호</t>
  </si>
  <si>
    <t>차지욱</t>
  </si>
  <si>
    <t>이홍균</t>
  </si>
  <si>
    <t>오민환</t>
  </si>
  <si>
    <t>이인아</t>
  </si>
  <si>
    <t>교수님</t>
  </si>
  <si>
    <t>김형</t>
  </si>
  <si>
    <t>지능정보융합학과</t>
  </si>
  <si>
    <t>합계</t>
  </si>
  <si>
    <t>*일정</t>
  </si>
  <si>
    <t>-발표회 준비: 13:00~14:00</t>
  </si>
  <si>
    <t>-발표회: 14:00~16:45</t>
  </si>
  <si>
    <t>-시상식: 16:45~17:00</t>
  </si>
  <si>
    <t>-식사: 17:00~19:00</t>
  </si>
  <si>
    <t>식사(자하연 3층)</t>
  </si>
  <si>
    <t>구분</t>
  </si>
  <si>
    <t>인원</t>
  </si>
  <si>
    <t>아시아 연구소</t>
  </si>
  <si>
    <t>조교</t>
  </si>
  <si>
    <t>총합계</t>
  </si>
  <si>
    <t>기념품(미정)</t>
  </si>
  <si>
    <t>우수상품(미정)</t>
  </si>
  <si>
    <t>헤드셋 링크</t>
  </si>
  <si>
    <t>다과(미정)</t>
  </si>
  <si>
    <t>갯수</t>
  </si>
  <si>
    <t>품목</t>
  </si>
  <si>
    <t>헤드셋(보스)</t>
  </si>
  <si>
    <t>호암교수회관 케이터링</t>
  </si>
  <si>
    <t>우산 링크</t>
  </si>
  <si>
    <t>에플워치SE 2</t>
  </si>
  <si>
    <t>에어팟4 노캔</t>
  </si>
  <si>
    <t>전체 예산</t>
  </si>
  <si>
    <t>케이블</t>
  </si>
  <si>
    <t>참여하는 분들 전체</t>
  </si>
  <si>
    <t>* 케이터링 서비스</t>
  </si>
  <si>
    <t>메뉴 링크</t>
  </si>
  <si>
    <t>문의전화</t>
  </si>
  <si>
    <t>호암교수회관</t>
  </si>
  <si>
    <t>레스토랑 메뉴</t>
  </si>
  <si>
    <t>3만원 이하로 한상차림 형태 주문 가능(단체 예약 가능한지 문의 필요)</t>
  </si>
  <si>
    <t>최소 보증 인원 18명, 최대 정원 26명, 기본 장소대여료 77,000원(초과 시 시간당 55,000원),식사 매출 개런티 기준 576,000원</t>
  </si>
  <si>
    <t>1688-7745</t>
  </si>
  <si>
    <t xml:space="preserve">케이터링 뷔페 메뉴 </t>
  </si>
  <si>
    <t>가격은 메뉴 구성 및 성격에 따라 가격변동 가능(문의 전화해서 확인 필요)</t>
  </si>
  <si>
    <t>최소 50인부터 가능(50인분 이상 주문만 하면 되는건지 확인 필요)</t>
  </si>
  <si>
    <t>케이터링 도시락 메뉴</t>
  </si>
  <si>
    <t>만원 후반~2만원 초반</t>
  </si>
  <si>
    <t>단일 메뉴로 10개 이상 주문 가능(20개 주문시 10개씩 2가지 메뉴 가능)</t>
  </si>
  <si>
    <t>락구정</t>
  </si>
  <si>
    <t>도시락 및 뷔페 메뉴(케이터링)</t>
  </si>
  <si>
    <t>도시락 가격은 2만원 후반~최대 3만원, 뷔페 및 다과는 확인 필요</t>
  </si>
  <si>
    <t>도시락은 10개 이상부터 배달 가능</t>
  </si>
  <si>
    <t>02-880-6788</t>
  </si>
  <si>
    <t>교수회관</t>
  </si>
  <si>
    <t>교수회관 메뉴</t>
  </si>
  <si>
    <t>도시락 가격은 2~3만원 선</t>
  </si>
  <si>
    <t>저녁예약은 한 메뉴당 20개부터 주문가능(점심 10개)</t>
  </si>
  <si>
    <t>02-880-5241</t>
  </si>
  <si>
    <r>
      <rPr>
        <rFont val="Aptos Narrow"/>
        <b/>
        <color theme="1"/>
        <sz val="12.0"/>
      </rPr>
      <t xml:space="preserve">* 공간 대여 </t>
    </r>
    <r>
      <rPr>
        <rFont val="Aptos Narrow (Body)"/>
        <b/>
        <color theme="1"/>
        <sz val="12.0"/>
      </rPr>
      <t>(공간 대여 가격은 문의 필요)</t>
    </r>
  </si>
  <si>
    <t>장소 링크</t>
  </si>
  <si>
    <t>국제회의실(25-1동)</t>
  </si>
  <si>
    <t>국제회의실</t>
  </si>
  <si>
    <t>104석</t>
  </si>
  <si>
    <t>02-880-6508</t>
  </si>
  <si>
    <t>10~36명(별실 사용 가능)</t>
  </si>
  <si>
    <t>모임 성격 알려주면 별실 준비해줌</t>
  </si>
  <si>
    <t>서울대학교 인문관</t>
  </si>
  <si>
    <t>인문대학</t>
  </si>
  <si>
    <t>인문대학 대여공간 시트 참고</t>
  </si>
  <si>
    <t>인문대 구성원만 예약 가능하며 아닐 경우 담당자 통해 접수 가능 
9시부터 18시까지는 무료이나 시간 외 사용의 경우 부과 가능</t>
  </si>
  <si>
    <t>02-880-2632</t>
  </si>
  <si>
    <t>리스트</t>
  </si>
  <si>
    <t>건물코드</t>
  </si>
  <si>
    <t>동번호</t>
  </si>
  <si>
    <t>건물명</t>
  </si>
  <si>
    <t>호실코드</t>
  </si>
  <si>
    <t>호실명</t>
  </si>
  <si>
    <t>호실면적(m2) m²</t>
  </si>
  <si>
    <t>시설대분류명</t>
  </si>
  <si>
    <t>시설중분류명</t>
  </si>
  <si>
    <t>11H0010</t>
  </si>
  <si>
    <t>1</t>
  </si>
  <si>
    <t>관악 1동[인문관1]</t>
  </si>
  <si>
    <t>101</t>
  </si>
  <si>
    <t>강의실</t>
  </si>
  <si>
    <t>교육기본시설</t>
  </si>
  <si>
    <t>102</t>
  </si>
  <si>
    <t>103</t>
  </si>
  <si>
    <t>207</t>
  </si>
  <si>
    <t>209</t>
  </si>
  <si>
    <t>210</t>
  </si>
  <si>
    <t>11H0020</t>
  </si>
  <si>
    <t>2</t>
  </si>
  <si>
    <t>관악 2동[인문관2]</t>
  </si>
  <si>
    <t>110</t>
  </si>
  <si>
    <t>106</t>
  </si>
  <si>
    <t>강의실(대학영어)</t>
  </si>
  <si>
    <t>101-1</t>
  </si>
  <si>
    <t>104</t>
  </si>
  <si>
    <t>104-1</t>
  </si>
  <si>
    <t>105</t>
  </si>
  <si>
    <t>11H0030</t>
  </si>
  <si>
    <t>3</t>
  </si>
  <si>
    <t>관악 3동[인문관3]</t>
  </si>
  <si>
    <t>116</t>
  </si>
  <si>
    <t>115</t>
  </si>
  <si>
    <t>전산실(대학영어)</t>
  </si>
  <si>
    <t>멀티미디어강의실</t>
  </si>
  <si>
    <t>107</t>
  </si>
  <si>
    <t>108</t>
  </si>
  <si>
    <t>어학강의실(멀티미디어)</t>
  </si>
  <si>
    <t>109</t>
  </si>
  <si>
    <t>114</t>
  </si>
  <si>
    <t>11H0040</t>
  </si>
  <si>
    <t>4</t>
  </si>
  <si>
    <t>관악 4동[신양학술정보관2]</t>
  </si>
  <si>
    <t>308</t>
  </si>
  <si>
    <t>세미나실2</t>
  </si>
  <si>
    <t>302</t>
  </si>
  <si>
    <t>301</t>
  </si>
  <si>
    <t>세미나4실</t>
  </si>
  <si>
    <t>201</t>
  </si>
  <si>
    <t>309</t>
  </si>
  <si>
    <t>세미나실3</t>
  </si>
  <si>
    <t>11H0050</t>
  </si>
  <si>
    <t>5</t>
  </si>
  <si>
    <t>관악 5동[인문관4]</t>
  </si>
  <si>
    <t>101-2</t>
  </si>
  <si>
    <t>201-1</t>
  </si>
  <si>
    <t>208</t>
  </si>
  <si>
    <t>107-2</t>
  </si>
  <si>
    <t>211</t>
  </si>
  <si>
    <t>107-1</t>
  </si>
  <si>
    <t>212</t>
  </si>
  <si>
    <t>11H0060</t>
  </si>
  <si>
    <t>6</t>
  </si>
  <si>
    <t>관악 6동[인문관5]</t>
  </si>
  <si>
    <t>영상강의실</t>
  </si>
  <si>
    <t>스마트강의실</t>
  </si>
  <si>
    <t>11H0070</t>
  </si>
  <si>
    <t>7</t>
  </si>
  <si>
    <t>관악 7동[인문관6]</t>
  </si>
  <si>
    <t>203</t>
  </si>
  <si>
    <t>202</t>
  </si>
  <si>
    <t>113</t>
  </si>
  <si>
    <t>111</t>
  </si>
  <si>
    <t>112</t>
  </si>
  <si>
    <t>305</t>
  </si>
  <si>
    <t>11H0080</t>
  </si>
  <si>
    <t>8</t>
  </si>
  <si>
    <t>관악 8동[두산인문관]</t>
  </si>
  <si>
    <t>407</t>
  </si>
  <si>
    <t>세미나실</t>
  </si>
  <si>
    <t>406</t>
  </si>
  <si>
    <t>304</t>
  </si>
  <si>
    <t>303</t>
  </si>
  <si>
    <t>408</t>
  </si>
  <si>
    <t>B101</t>
  </si>
  <si>
    <t>강의실(공연용)</t>
  </si>
  <si>
    <t>11H0090</t>
  </si>
  <si>
    <t>9</t>
  </si>
  <si>
    <t>관악 9동[사범관1]</t>
  </si>
  <si>
    <t>119</t>
  </si>
  <si>
    <t>11H0140</t>
  </si>
  <si>
    <t>14</t>
  </si>
  <si>
    <t>관악 14동[인문관7]</t>
  </si>
  <si>
    <t>국사학과(임시)</t>
  </si>
  <si>
    <t>연구시설</t>
  </si>
  <si>
    <t>대학원연구실</t>
  </si>
  <si>
    <t>204</t>
  </si>
  <si>
    <t>B102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</si>
</sst>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&quot;₩&quot;* #,##0_);_(&quot;₩&quot;* \(#,##0\);_(&quot;₩&quot;* &quot;-&quot;_);_(@_)"/>
    <numFmt numFmtId="165" formatCode="_(* #,##0_);_(* \(#,##0\);_(* &quot;-&quot;_);_(@_)"/>
  </numFmts>
  <fonts count="28">
    <font>
      <sz val="12.0"/>
      <color theme="1"/>
      <name val="Aptos Narrow"/>
      <scheme val="minor"/>
    </font>
    <font>
      <sz val="10.0"/>
      <color theme="1"/>
      <name val="Aptos Narrow"/>
    </font>
    <font>
      <b/>
      <sz val="14.0"/>
      <color theme="1"/>
      <name val="Aptos Narrow"/>
    </font>
    <font/>
    <font>
      <sz val="8.0"/>
      <color rgb="FF0070C0"/>
      <name val="Aptos Narrow"/>
    </font>
    <font>
      <sz val="8.0"/>
      <color rgb="FFA6C9EB"/>
      <name val="Aptos Narrow"/>
    </font>
    <font>
      <sz val="8.0"/>
      <color rgb="FFFF0000"/>
      <name val="Aptos Narrow"/>
    </font>
    <font>
      <u/>
      <sz val="12.0"/>
      <color theme="10"/>
      <name val="Aptos Narrow"/>
    </font>
    <font>
      <u/>
      <sz val="10.0"/>
      <color theme="10"/>
      <name val="Aptos Narrow"/>
    </font>
    <font>
      <u/>
      <sz val="10.0"/>
      <color theme="10"/>
      <name val="Aptos Narrow"/>
    </font>
    <font>
      <b/>
      <sz val="11.0"/>
      <color theme="1"/>
      <name val="Aptos Narrow"/>
    </font>
    <font>
      <sz val="10.0"/>
      <color rgb="FF4D94D8"/>
      <name val="Aptos Narrow"/>
    </font>
    <font>
      <sz val="9.0"/>
      <color theme="1"/>
      <name val="Aptos Narrow"/>
    </font>
    <font>
      <u/>
      <sz val="9.0"/>
      <color theme="10"/>
      <name val="Aptos Narrow"/>
    </font>
    <font>
      <u/>
      <sz val="12.0"/>
      <color theme="10"/>
      <name val="Aptos Narrow"/>
    </font>
    <font>
      <b/>
      <sz val="10.0"/>
      <color theme="1"/>
      <name val="Aptos Narrow"/>
    </font>
    <font>
      <sz val="10.0"/>
      <color rgb="FF202124"/>
      <name val="Arial"/>
    </font>
    <font>
      <b/>
      <sz val="10.0"/>
      <color rgb="FFFF0000"/>
      <name val="Aptos Narrow"/>
    </font>
    <font>
      <u/>
      <sz val="12.0"/>
      <color theme="10"/>
      <name val="Aptos Narrow"/>
    </font>
    <font>
      <u/>
      <sz val="12.0"/>
      <color theme="10"/>
      <name val="Aptos Narrow"/>
    </font>
    <font>
      <sz val="12.0"/>
      <color theme="1"/>
      <name val="Aptos Narrow"/>
    </font>
    <font>
      <b/>
      <sz val="12.0"/>
      <color theme="1"/>
      <name val="Aptos Narrow"/>
    </font>
    <font>
      <u/>
      <sz val="12.0"/>
      <color theme="10"/>
      <name val="Aptos Narrow"/>
    </font>
    <font>
      <sz val="12.0"/>
      <color rgb="FFFF0000"/>
      <name val="Aptos Narrow"/>
    </font>
    <font>
      <b/>
      <sz val="9.0"/>
      <color theme="1"/>
      <name val="Trebuchet MS"/>
    </font>
    <font>
      <sz val="9.0"/>
      <color theme="1"/>
      <name val="Arial"/>
    </font>
    <font>
      <b/>
      <sz val="9.0"/>
      <color theme="1"/>
      <name val="Arial"/>
    </font>
    <font>
      <sz val="9.0"/>
      <color theme="1"/>
      <name val="Dotum"/>
    </font>
  </fonts>
  <fills count="1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D9F2D0"/>
        <bgColor rgb="FFD9F2D0"/>
      </patternFill>
    </fill>
    <fill>
      <patternFill patternType="solid">
        <fgColor rgb="FFC1E4F5"/>
        <bgColor rgb="FFC1E4F5"/>
      </patternFill>
    </fill>
    <fill>
      <patternFill patternType="solid">
        <fgColor rgb="FF95DCF7"/>
        <bgColor rgb="FF95DCF7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C1F0C8"/>
        <bgColor rgb="FFC1F0C8"/>
      </patternFill>
    </fill>
    <fill>
      <patternFill patternType="solid">
        <fgColor rgb="FFCAEDFB"/>
        <bgColor rgb="FFCAEDFB"/>
      </patternFill>
    </fill>
    <fill>
      <patternFill patternType="solid">
        <fgColor rgb="FFF1CEEE"/>
        <bgColor rgb="FFF1CEEE"/>
      </patternFill>
    </fill>
    <fill>
      <patternFill patternType="solid">
        <fgColor rgb="FFF6E8A9"/>
        <bgColor rgb="FFF6E8A9"/>
      </patternFill>
    </fill>
    <fill>
      <patternFill patternType="solid">
        <fgColor rgb="FFFFD495"/>
        <bgColor rgb="FFFFD495"/>
      </patternFill>
    </fill>
  </fills>
  <borders count="20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top style="thin">
        <color rgb="FFBFBFBF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</border>
    <border>
      <left style="thin">
        <color rgb="FFA5A5A5"/>
      </left>
      <right style="thin">
        <color rgb="FFA5A5A5"/>
      </right>
    </border>
    <border>
      <left style="thin">
        <color rgb="FFA5A5A5"/>
      </left>
      <right style="thin">
        <color rgb="FFA5A5A5"/>
      </right>
      <bottom style="thin">
        <color rgb="FFA5A5A5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1" fillId="2" fontId="1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2" fontId="1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 vertical="center"/>
    </xf>
    <xf borderId="7" fillId="0" fontId="3" numFmtId="0" xfId="0" applyBorder="1" applyFont="1"/>
    <xf borderId="8" fillId="2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quotePrefix="1" borderId="6" fillId="0" fontId="1" numFmtId="0" xfId="0" applyAlignment="1" applyBorder="1" applyFont="1">
      <alignment horizontal="center" vertical="center"/>
    </xf>
    <xf borderId="6" fillId="0" fontId="1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 vertical="center"/>
    </xf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9" fillId="0" fontId="3" numFmtId="0" xfId="0" applyBorder="1" applyFont="1"/>
    <xf borderId="1" fillId="3" fontId="1" numFmtId="0" xfId="0" applyAlignment="1" applyBorder="1" applyFill="1" applyFont="1">
      <alignment horizontal="center" vertical="center"/>
    </xf>
    <xf borderId="6" fillId="3" fontId="1" numFmtId="164" xfId="0" applyAlignment="1" applyBorder="1" applyFont="1" applyNumberFormat="1">
      <alignment horizontal="center" vertical="center"/>
    </xf>
    <xf borderId="4" fillId="4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0" fillId="0" fontId="4" numFmtId="0" xfId="0" applyAlignment="1" applyFont="1">
      <alignment horizontal="left" vertical="center"/>
    </xf>
    <xf borderId="4" fillId="5" fontId="1" numFmtId="0" xfId="0" applyAlignment="1" applyBorder="1" applyFill="1" applyFont="1">
      <alignment horizontal="center" vertical="center"/>
    </xf>
    <xf borderId="6" fillId="3" fontId="1" numFmtId="0" xfId="0" applyAlignment="1" applyBorder="1" applyFont="1">
      <alignment horizontal="center" vertical="center"/>
    </xf>
    <xf borderId="0" fillId="0" fontId="5" numFmtId="0" xfId="0" applyAlignment="1" applyFont="1">
      <alignment horizontal="right" vertical="center"/>
    </xf>
    <xf borderId="0" fillId="0" fontId="5" numFmtId="164" xfId="0" applyAlignment="1" applyFont="1" applyNumberFormat="1">
      <alignment horizontal="right" vertical="center"/>
    </xf>
    <xf borderId="10" fillId="0" fontId="6" numFmtId="0" xfId="0" applyAlignment="1" applyBorder="1" applyFont="1">
      <alignment horizontal="left" shrinkToFit="0" vertical="center" wrapText="1"/>
    </xf>
    <xf borderId="10" fillId="0" fontId="3" numFmtId="0" xfId="0" applyBorder="1" applyFont="1"/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center" vertical="center"/>
    </xf>
    <xf borderId="4" fillId="3" fontId="1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center" vertical="center"/>
    </xf>
    <xf quotePrefix="1" borderId="6" fillId="0" fontId="9" numFmtId="0" xfId="0" applyAlignment="1" applyBorder="1" applyFont="1">
      <alignment horizontal="center" vertical="center"/>
    </xf>
    <xf borderId="6" fillId="6" fontId="1" numFmtId="0" xfId="0" applyAlignment="1" applyBorder="1" applyFill="1" applyFont="1">
      <alignment horizontal="center" vertical="center"/>
    </xf>
    <xf borderId="1" fillId="7" fontId="1" numFmtId="0" xfId="0" applyAlignment="1" applyBorder="1" applyFill="1" applyFont="1">
      <alignment horizontal="center" vertical="center"/>
    </xf>
    <xf borderId="6" fillId="7" fontId="1" numFmtId="164" xfId="0" applyAlignment="1" applyBorder="1" applyFont="1" applyNumberFormat="1">
      <alignment horizontal="center" vertical="center"/>
    </xf>
    <xf borderId="6" fillId="7" fontId="1" numFmtId="0" xfId="0" applyAlignment="1" applyBorder="1" applyFont="1">
      <alignment horizontal="center" vertical="center"/>
    </xf>
    <xf borderId="0" fillId="0" fontId="6" numFmtId="0" xfId="0" applyAlignment="1" applyFont="1">
      <alignment horizontal="left" vertical="top"/>
    </xf>
    <xf borderId="0" fillId="0" fontId="10" numFmtId="0" xfId="0" applyAlignment="1" applyFont="1">
      <alignment horizontal="center" vertical="center"/>
    </xf>
    <xf borderId="0" fillId="0" fontId="11" numFmtId="0" xfId="0" applyAlignment="1" applyFont="1">
      <alignment horizontal="left" vertical="center"/>
    </xf>
    <xf borderId="0" fillId="0" fontId="1" numFmtId="164" xfId="0" applyAlignment="1" applyFont="1" applyNumberFormat="1">
      <alignment horizontal="center" vertical="center"/>
    </xf>
    <xf quotePrefix="1" borderId="6" fillId="0" fontId="12" numFmtId="0" xfId="0" applyAlignment="1" applyBorder="1" applyFont="1">
      <alignment horizontal="center" vertical="center"/>
    </xf>
    <xf borderId="6" fillId="0" fontId="13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0" fillId="0" fontId="1" numFmtId="0" xfId="0" applyFont="1"/>
    <xf borderId="11" fillId="8" fontId="1" numFmtId="0" xfId="0" applyBorder="1" applyFill="1" applyFont="1"/>
    <xf quotePrefix="1" borderId="6" fillId="7" fontId="1" numFmtId="0" xfId="0" applyAlignment="1" applyBorder="1" applyFont="1">
      <alignment horizontal="center" vertical="center"/>
    </xf>
    <xf borderId="1" fillId="9" fontId="1" numFmtId="0" xfId="0" applyAlignment="1" applyBorder="1" applyFill="1" applyFont="1">
      <alignment horizontal="center" vertical="center"/>
    </xf>
    <xf borderId="6" fillId="9" fontId="1" numFmtId="164" xfId="0" applyAlignment="1" applyBorder="1" applyFont="1" applyNumberFormat="1">
      <alignment horizontal="center" vertical="center"/>
    </xf>
    <xf borderId="6" fillId="9" fontId="1" numFmtId="0" xfId="0" applyAlignment="1" applyBorder="1" applyFont="1">
      <alignment horizontal="center" vertical="center"/>
    </xf>
    <xf quotePrefix="1" borderId="6" fillId="9" fontId="1" numFmtId="0" xfId="0" applyAlignment="1" applyBorder="1" applyFont="1">
      <alignment horizontal="center" vertical="center"/>
    </xf>
    <xf borderId="6" fillId="0" fontId="14" numFmtId="0" xfId="0" applyAlignment="1" applyBorder="1" applyFont="1">
      <alignment horizontal="center" vertical="center"/>
    </xf>
    <xf borderId="0" fillId="0" fontId="6" numFmtId="0" xfId="0" applyAlignment="1" applyFont="1">
      <alignment horizontal="left" vertical="center"/>
    </xf>
    <xf borderId="4" fillId="10" fontId="1" numFmtId="0" xfId="0" applyAlignment="1" applyBorder="1" applyFill="1" applyFont="1">
      <alignment horizontal="center" vertical="center"/>
    </xf>
    <xf borderId="6" fillId="10" fontId="1" numFmtId="0" xfId="0" applyAlignment="1" applyBorder="1" applyFont="1">
      <alignment horizontal="center" vertical="center"/>
    </xf>
    <xf borderId="1" fillId="11" fontId="1" numFmtId="0" xfId="0" applyAlignment="1" applyBorder="1" applyFill="1" applyFont="1">
      <alignment horizontal="center" vertical="center"/>
    </xf>
    <xf borderId="1" fillId="10" fontId="1" numFmtId="0" xfId="0" applyAlignment="1" applyBorder="1" applyFont="1">
      <alignment horizontal="center" vertical="center"/>
    </xf>
    <xf borderId="11" fillId="11" fontId="1" numFmtId="0" xfId="0" applyAlignment="1" applyBorder="1" applyFont="1">
      <alignment horizontal="center" vertical="center"/>
    </xf>
    <xf borderId="11" fillId="10" fontId="1" numFmtId="0" xfId="0" applyAlignment="1" applyBorder="1" applyFont="1">
      <alignment horizontal="center" vertical="center"/>
    </xf>
    <xf borderId="0" fillId="0" fontId="10" numFmtId="0" xfId="0" applyAlignment="1" applyFont="1">
      <alignment horizontal="left" vertical="center"/>
    </xf>
    <xf borderId="0" fillId="0" fontId="15" numFmtId="0" xfId="0" applyAlignment="1" applyFont="1">
      <alignment horizontal="left" vertical="center"/>
    </xf>
    <xf borderId="0" fillId="0" fontId="15" numFmtId="0" xfId="0" applyAlignment="1" applyFont="1">
      <alignment horizontal="center" vertical="center"/>
    </xf>
    <xf borderId="6" fillId="0" fontId="16" numFmtId="0" xfId="0" applyAlignment="1" applyBorder="1" applyFont="1">
      <alignment horizontal="center" vertical="center"/>
    </xf>
    <xf quotePrefix="1" borderId="6" fillId="0" fontId="16" numFmtId="0" xfId="0" applyAlignment="1" applyBorder="1" applyFont="1">
      <alignment horizontal="center" vertical="center"/>
    </xf>
    <xf borderId="0" fillId="0" fontId="16" numFmtId="0" xfId="0" applyAlignment="1" applyFont="1">
      <alignment horizontal="center" vertical="center"/>
    </xf>
    <xf quotePrefix="1" borderId="6" fillId="12" fontId="16" numFmtId="0" xfId="0" applyAlignment="1" applyBorder="1" applyFill="1" applyFont="1">
      <alignment horizontal="center" vertical="center"/>
    </xf>
    <xf borderId="1" fillId="0" fontId="16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quotePrefix="1" borderId="0" fillId="0" fontId="15" numFmtId="0" xfId="0" applyAlignment="1" applyFont="1">
      <alignment horizontal="left" vertical="center"/>
    </xf>
    <xf borderId="0" fillId="0" fontId="15" numFmtId="0" xfId="0" applyAlignment="1" applyFont="1">
      <alignment vertical="center"/>
    </xf>
    <xf borderId="12" fillId="0" fontId="1" numFmtId="0" xfId="0" applyAlignment="1" applyBorder="1" applyFont="1">
      <alignment vertical="center"/>
    </xf>
    <xf borderId="13" fillId="0" fontId="1" numFmtId="0" xfId="0" applyAlignment="1" applyBorder="1" applyFont="1">
      <alignment horizontal="center" vertical="center"/>
    </xf>
    <xf borderId="14" fillId="0" fontId="3" numFmtId="0" xfId="0" applyBorder="1" applyFont="1"/>
    <xf borderId="15" fillId="0" fontId="3" numFmtId="0" xfId="0" applyBorder="1" applyFont="1"/>
    <xf borderId="12" fillId="0" fontId="17" numFmtId="0" xfId="0" applyAlignment="1" applyBorder="1" applyFont="1">
      <alignment vertical="center"/>
    </xf>
    <xf borderId="0" fillId="0" fontId="17" numFmtId="0" xfId="0" applyAlignment="1" applyFont="1">
      <alignment vertical="center"/>
    </xf>
    <xf borderId="0" fillId="0" fontId="18" numFmtId="0" xfId="0" applyAlignment="1" applyFont="1">
      <alignment vertical="center"/>
    </xf>
    <xf borderId="12" fillId="0" fontId="1" numFmtId="3" xfId="0" applyAlignment="1" applyBorder="1" applyFont="1" applyNumberFormat="1">
      <alignment vertical="center"/>
    </xf>
    <xf quotePrefix="1" borderId="12" fillId="0" fontId="1" numFmtId="0" xfId="0" applyAlignment="1" applyBorder="1" applyFont="1">
      <alignment vertical="center"/>
    </xf>
    <xf borderId="12" fillId="0" fontId="19" numFmtId="0" xfId="0" applyAlignment="1" applyBorder="1" applyFont="1">
      <alignment vertical="center"/>
    </xf>
    <xf borderId="0" fillId="0" fontId="1" numFmtId="165" xfId="0" applyAlignment="1" applyFont="1" applyNumberFormat="1">
      <alignment vertical="center"/>
    </xf>
    <xf borderId="12" fillId="2" fontId="1" numFmtId="0" xfId="0" applyAlignment="1" applyBorder="1" applyFont="1">
      <alignment vertical="center"/>
    </xf>
    <xf borderId="12" fillId="0" fontId="1" numFmtId="165" xfId="0" applyAlignment="1" applyBorder="1" applyFont="1" applyNumberFormat="1">
      <alignment vertical="center"/>
    </xf>
    <xf borderId="0" fillId="0" fontId="20" numFmtId="0" xfId="0" applyAlignment="1" applyFont="1">
      <alignment horizontal="center" vertical="center"/>
    </xf>
    <xf quotePrefix="1" borderId="0" fillId="0" fontId="21" numFmtId="0" xfId="0" applyAlignment="1" applyFont="1">
      <alignment horizontal="left" vertical="center"/>
    </xf>
    <xf borderId="16" fillId="13" fontId="20" numFmtId="0" xfId="0" applyAlignment="1" applyBorder="1" applyFill="1" applyFont="1">
      <alignment horizontal="center" vertical="center"/>
    </xf>
    <xf borderId="17" fillId="10" fontId="20" numFmtId="0" xfId="0" applyAlignment="1" applyBorder="1" applyFont="1">
      <alignment horizontal="center" shrinkToFit="0" vertical="center" wrapText="1"/>
    </xf>
    <xf borderId="16" fillId="0" fontId="22" numFmtId="0" xfId="0" applyAlignment="1" applyBorder="1" applyFont="1">
      <alignment horizontal="center" vertical="center"/>
    </xf>
    <xf borderId="16" fillId="0" fontId="20" numFmtId="0" xfId="0" applyAlignment="1" applyBorder="1" applyFont="1">
      <alignment horizontal="left" vertical="center"/>
    </xf>
    <xf borderId="17" fillId="0" fontId="20" numFmtId="0" xfId="0" applyAlignment="1" applyBorder="1" applyFont="1">
      <alignment horizontal="center" vertical="center"/>
    </xf>
    <xf borderId="18" fillId="0" fontId="3" numFmtId="0" xfId="0" applyBorder="1" applyFont="1"/>
    <xf borderId="19" fillId="0" fontId="3" numFmtId="0" xfId="0" applyBorder="1" applyFont="1"/>
    <xf borderId="16" fillId="10" fontId="20" numFmtId="0" xfId="0" applyAlignment="1" applyBorder="1" applyFont="1">
      <alignment horizontal="center" shrinkToFit="0" vertical="center" wrapText="1"/>
    </xf>
    <xf borderId="16" fillId="0" fontId="20" numFmtId="0" xfId="0" applyAlignment="1" applyBorder="1" applyFont="1">
      <alignment horizontal="center" vertical="center"/>
    </xf>
    <xf borderId="0" fillId="0" fontId="20" numFmtId="0" xfId="0" applyAlignment="1" applyFont="1">
      <alignment horizontal="left" vertical="center"/>
    </xf>
    <xf borderId="0" fillId="0" fontId="21" numFmtId="0" xfId="0" applyAlignment="1" applyFont="1">
      <alignment horizontal="left" vertical="center"/>
    </xf>
    <xf borderId="16" fillId="10" fontId="20" numFmtId="0" xfId="0" applyAlignment="1" applyBorder="1" applyFont="1">
      <alignment horizontal="center" vertical="center"/>
    </xf>
    <xf borderId="16" fillId="0" fontId="20" numFmtId="0" xfId="0" applyAlignment="1" applyBorder="1" applyFont="1">
      <alignment horizontal="left" shrinkToFit="0" vertical="center" wrapText="1"/>
    </xf>
    <xf borderId="0" fillId="0" fontId="23" numFmtId="0" xfId="0" applyAlignment="1" applyFont="1">
      <alignment horizontal="left" vertical="center"/>
    </xf>
    <xf borderId="0" fillId="0" fontId="24" numFmtId="0" xfId="0" applyAlignment="1" applyFont="1">
      <alignment vertical="center"/>
    </xf>
    <xf borderId="0" fillId="0" fontId="25" numFmtId="0" xfId="0" applyAlignment="1" applyFont="1">
      <alignment vertical="center"/>
    </xf>
    <xf borderId="12" fillId="8" fontId="26" numFmtId="0" xfId="0" applyAlignment="1" applyBorder="1" applyFont="1">
      <alignment horizontal="left" vertical="center"/>
    </xf>
    <xf borderId="12" fillId="0" fontId="25" numFmtId="49" xfId="0" applyAlignment="1" applyBorder="1" applyFont="1" applyNumberFormat="1">
      <alignment shrinkToFit="0" vertical="center" wrapText="1"/>
    </xf>
    <xf borderId="12" fillId="0" fontId="25" numFmtId="4" xfId="0" applyAlignment="1" applyBorder="1" applyFont="1" applyNumberFormat="1">
      <alignment horizontal="right" vertical="center"/>
    </xf>
    <xf borderId="12" fillId="0" fontId="25" numFmtId="3" xfId="0" applyAlignment="1" applyBorder="1" applyFont="1" applyNumberFormat="1">
      <alignment horizontal="right" vertical="center"/>
    </xf>
    <xf borderId="12" fillId="0" fontId="27" numFmtId="49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coupang.com/vp/products/196924113?itemId=567420046&amp;vendorItemId=91101338422&amp;q=%EB%AA%85%EC%B0%B0&amp;itemsCount=36&amp;searchId=0d5f74f9af2147e0885eba1a9837b176&amp;rank=1&amp;searchRank=1&amp;isAddedCart=" TargetMode="External"/><Relationship Id="rId10" Type="http://schemas.openxmlformats.org/officeDocument/2006/relationships/hyperlink" Target="https://www.coupang.com/vp/products/7396102229?itemId=19132613919&amp;vendorItemId=81121419091&amp;sourceType=srp_product_ads&amp;clickEventId=c6637550-b21c-11ef-97e3-5a0442ce32e9&amp;korePlacement=15&amp;koreSubPlacement=5&amp;q=%EB%AA%85%EC%B0%B0%ED%94%84%EB%A6%B0%ED%84%B0&amp;itemsCount=36&amp;searchId=b8abb2bd054d42cbb1cc473502c5e557&amp;rank=4&amp;searchRank=4&amp;isAddedCart=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map.naver.com/p/search/%ED%8F%AC%EC%8A%A4%ED%84%B0%20%EC%9D%B8%EC%87%84/place/31950267?searchType=place&amp;placePath=%2Fhome%3Fentry%3Dpll&amp;lng=126.9538089&amp;lat=37.4754955&amp;c=16.54,0,0,0,dh" TargetMode="External"/><Relationship Id="rId1" Type="http://schemas.openxmlformats.org/officeDocument/2006/relationships/hyperlink" Target="https://www.apple.com/kr/shop/buy-ipad/ipad-air" TargetMode="External"/><Relationship Id="rId2" Type="http://schemas.openxmlformats.org/officeDocument/2006/relationships/hyperlink" Target="https://brand.naver.com/bose/category/986e035330c4498da2e7102765f1e059?cp=1&amp;NaPm=ct%3Dm46ddn40%7Cci%3D0zK000284iPB5mPnlfjy%7Ctr%3Dbrnd%7Chk%3D81ea64b379c3372ffc6058175b000ee560e67c37%7Cnacn%3DVB2kBMAOWaBa" TargetMode="External"/><Relationship Id="rId3" Type="http://schemas.openxmlformats.org/officeDocument/2006/relationships/hyperlink" Target="https://www.apple.com/kr/airpods/" TargetMode="External"/><Relationship Id="rId4" Type="http://schemas.openxmlformats.org/officeDocument/2006/relationships/hyperlink" Target="http://itempage3.auction.co.kr/DetailView.aspx?itemno=E748228287" TargetMode="External"/><Relationship Id="rId9" Type="http://schemas.openxmlformats.org/officeDocument/2006/relationships/hyperlink" Target="https://www.coupang.com/vp/products/2107102057?itemId=3579422434&amp;vendorItemId=71565237475&amp;sourceType=srp_product_ads&amp;clickEventId=d5b78e40-b6bf-11ef-b06d-54973692d734&amp;korePlacement=15&amp;koreSubPlacement=12&amp;q=%EC%83%81%EC%9E%A5%EC%BB%A4%EB%B2%84&amp;itemsCount=36&amp;searchId=9f9911be56d444a3924826949783ae5d&amp;rank=11&amp;searchRank=11&amp;isAddedCart=" TargetMode="External"/><Relationship Id="rId5" Type="http://schemas.openxmlformats.org/officeDocument/2006/relationships/hyperlink" Target="https://brand.naver.com/lottechilsung/products/8248548593?NaPm=ct%3Dm47tql4w%7Cci%3D0Ae0000eoiTBGUGaxeYu%7Ctr%3Dplan%7Chk%3D67e5e8c09c422b0686d40865d0addb67b0bb91ba%7Cnacn%3DVB2kBMAOWaBa" TargetMode="External"/><Relationship Id="rId6" Type="http://schemas.openxmlformats.org/officeDocument/2006/relationships/hyperlink" Target="https://grains.co.kr/product/%EB%A7%88%EC%97%90%EC%8A%A4%ED%8A%B8%EB%A1%9C%EC%84%B8%ED%8A%B8/25/category/43/display/1/" TargetMode="External"/><Relationship Id="rId7" Type="http://schemas.openxmlformats.org/officeDocument/2006/relationships/hyperlink" Target="https://www.intermarket.co.kr/src/product_detail.php?gdno=22892" TargetMode="External"/><Relationship Id="rId8" Type="http://schemas.openxmlformats.org/officeDocument/2006/relationships/hyperlink" Target="https://www.gagudokebi.com/product/detail.html?product_no=25&amp;cate_no=51&amp;display_group=1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gagudokebi.com/product/detail.html?product_no=25&amp;cate_no=51&amp;display_group=1" TargetMode="External"/><Relationship Id="rId11" Type="http://schemas.openxmlformats.org/officeDocument/2006/relationships/hyperlink" Target="https://www.gagudokebi.com/product/detail.html?product_no=25&amp;cate_no=51&amp;display_group=1" TargetMode="External"/><Relationship Id="rId22" Type="http://schemas.openxmlformats.org/officeDocument/2006/relationships/drawing" Target="../drawings/drawing3.xml"/><Relationship Id="rId10" Type="http://schemas.openxmlformats.org/officeDocument/2006/relationships/hyperlink" Target="https://www.intermarket.co.kr/src/product_detail.php?gdno=22892" TargetMode="External"/><Relationship Id="rId21" Type="http://schemas.openxmlformats.org/officeDocument/2006/relationships/hyperlink" Target="https://map.naver.com/p/search/%ED%8F%AC%EC%8A%A4%ED%84%B0%20%EC%9D%B8%EC%87%84/place/31950267?searchType=place&amp;placePath=%2Fhome%3Fentry%3Dpll&amp;lng=126.9538089&amp;lat=37.4754955&amp;c=16.54,0,0,0,dh" TargetMode="External"/><Relationship Id="rId13" Type="http://schemas.openxmlformats.org/officeDocument/2006/relationships/hyperlink" Target="https://map.naver.com/p/search/%ED%8F%AC%EC%8A%A4%ED%84%B0%20%EC%9D%B8%EC%87%84/place/31950267?searchType=place&amp;placePath=%2Fhome%3Fentry%3Dpll&amp;lng=126.9538089&amp;lat=37.4754955&amp;c=16.54,0,0,0,dh" TargetMode="External"/><Relationship Id="rId12" Type="http://schemas.openxmlformats.org/officeDocument/2006/relationships/hyperlink" Target="https://www.gagudokebi.com/product/detail.html?product_no=25&amp;cate_no=51&amp;display_group=1" TargetMode="External"/><Relationship Id="rId1" Type="http://schemas.openxmlformats.org/officeDocument/2006/relationships/hyperlink" Target="https://www.apple.com/kr/shop/buy-ipad/ipad-air" TargetMode="External"/><Relationship Id="rId2" Type="http://schemas.openxmlformats.org/officeDocument/2006/relationships/hyperlink" Target="https://www.apple.com/kr/shop/buy-ipad/ipad-air" TargetMode="External"/><Relationship Id="rId3" Type="http://schemas.openxmlformats.org/officeDocument/2006/relationships/hyperlink" Target="https://brand.naver.com/bose/category/986e035330c4498da2e7102765f1e059?cp=1&amp;NaPm=ct%3Dm46ddn40%7Cci%3D0zK000284iPB5mPnlfjy%7Ctr%3Dbrnd%7Chk%3D81ea64b379c3372ffc6058175b000ee560e67c37%7Cnacn%3DVB2kBMAOWaBa" TargetMode="External"/><Relationship Id="rId4" Type="http://schemas.openxmlformats.org/officeDocument/2006/relationships/hyperlink" Target="https://brand.naver.com/bose/category/986e035330c4498da2e7102765f1e059?cp=1&amp;NaPm=ct%3Dm46ddn40%7Cci%3D0zK000284iPB5mPnlfjy%7Ctr%3Dbrnd%7Chk%3D81ea64b379c3372ffc6058175b000ee560e67c37%7Cnacn%3DVB2kBMAOWaBa" TargetMode="External"/><Relationship Id="rId9" Type="http://schemas.openxmlformats.org/officeDocument/2006/relationships/hyperlink" Target="https://www.intermarket.co.kr/src/product_detail.php?gdno=22892" TargetMode="External"/><Relationship Id="rId15" Type="http://schemas.openxmlformats.org/officeDocument/2006/relationships/hyperlink" Target="https://www.apple.com/kr/shop/buy-ipad/ipad-air" TargetMode="External"/><Relationship Id="rId14" Type="http://schemas.openxmlformats.org/officeDocument/2006/relationships/hyperlink" Target="https://map.naver.com/p/search/%ED%8F%AC%EC%8A%A4%ED%84%B0%20%EC%9D%B8%EC%87%84/place/31950267?searchType=place&amp;placePath=%2Fhome%3Fentry%3Dpll&amp;lng=126.9538089&amp;lat=37.4754955&amp;c=16.54,0,0,0,dh" TargetMode="External"/><Relationship Id="rId17" Type="http://schemas.openxmlformats.org/officeDocument/2006/relationships/hyperlink" Target="https://www.apple.com/kr/airpods/" TargetMode="External"/><Relationship Id="rId16" Type="http://schemas.openxmlformats.org/officeDocument/2006/relationships/hyperlink" Target="https://brand.naver.com/bose/category/986e035330c4498da2e7102765f1e059?cp=1&amp;NaPm=ct%3Dm46ddn40%7Cci%3D0zK000284iPB5mPnlfjy%7Ctr%3Dbrnd%7Chk%3D81ea64b379c3372ffc6058175b000ee560e67c37%7Cnacn%3DVB2kBMAOWaBa" TargetMode="External"/><Relationship Id="rId5" Type="http://schemas.openxmlformats.org/officeDocument/2006/relationships/hyperlink" Target="https://www.apple.com/kr/airpods/" TargetMode="External"/><Relationship Id="rId19" Type="http://schemas.openxmlformats.org/officeDocument/2006/relationships/hyperlink" Target="https://www.intermarket.co.kr/src/product_detail.php?gdno=22892" TargetMode="External"/><Relationship Id="rId6" Type="http://schemas.openxmlformats.org/officeDocument/2006/relationships/hyperlink" Target="https://www.apple.com/kr/airpods/" TargetMode="External"/><Relationship Id="rId18" Type="http://schemas.openxmlformats.org/officeDocument/2006/relationships/hyperlink" Target="https://brand.naver.com/lottechilsung/products/8248548593?NaPm=ct%3Dm47tql4w%7Cci%3D0Ae0000eoiTBGUGaxeYu%7Ctr%3Dplan%7Chk%3D67e5e8c09c422b0686d40865d0addb67b0bb91ba%7Cnacn%3DVB2kBMAOWaBa" TargetMode="External"/><Relationship Id="rId7" Type="http://schemas.openxmlformats.org/officeDocument/2006/relationships/hyperlink" Target="https://brand.naver.com/lottechilsung/products/8248548593?NaPm=ct%3Dm47tql4w%7Cci%3D0Ae0000eoiTBGUGaxeYu%7Ctr%3Dplan%7Chk%3D67e5e8c09c422b0686d40865d0addb67b0bb91ba%7Cnacn%3DVB2kBMAOWaBa" TargetMode="External"/><Relationship Id="rId8" Type="http://schemas.openxmlformats.org/officeDocument/2006/relationships/hyperlink" Target="https://brand.naver.com/lottechilsung/products/8248548593?NaPm=ct%3Dm47tql4w%7Cci%3D0Ae0000eoiTBGUGaxeYu%7Ctr%3Dplan%7Chk%3D67e5e8c09c422b0686d40865d0addb67b0bb91ba%7Cnacn%3DVB2kBMAOWaBa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pple.com/kr/shop/buy-ipad/ipad-air" TargetMode="External"/><Relationship Id="rId2" Type="http://schemas.openxmlformats.org/officeDocument/2006/relationships/hyperlink" Target="https://brand.naver.com/bose/category/986e035330c4498da2e7102765f1e059?cp=1&amp;NaPm=ct%3Dm46ddn40%7Cci%3D0zK000284iPB5mPnlfjy%7Ctr%3Dbrnd%7Chk%3D81ea64b379c3372ffc6058175b000ee560e67c37%7Cnacn%3DVB2kBMAOWaBa" TargetMode="External"/><Relationship Id="rId3" Type="http://schemas.openxmlformats.org/officeDocument/2006/relationships/hyperlink" Target="https://www.apple.com/kr/airpods/" TargetMode="External"/><Relationship Id="rId4" Type="http://schemas.openxmlformats.org/officeDocument/2006/relationships/hyperlink" Target="https://www.gagudokebi.com/product/detail.html?product_no=25&amp;cate_no=51&amp;display_group=1" TargetMode="External"/><Relationship Id="rId5" Type="http://schemas.openxmlformats.org/officeDocument/2006/relationships/hyperlink" Target="https://map.naver.com/p/search/%ED%8F%AC%EC%8A%A4%ED%84%B0%20%EC%9D%B8%EC%87%84/place/31950267?searchType=place&amp;placePath=%2Fhome%3Fentry%3Dpll&amp;lng=126.9538089&amp;lat=37.4754955&amp;c=16.54,0,0,0,dh" TargetMode="External"/><Relationship Id="rId6" Type="http://schemas.openxmlformats.org/officeDocument/2006/relationships/hyperlink" Target="https://www.87city.co.kr/product/productDetail.html?pcode=J141-51&amp;NaPm=ct%3Dm46dj0s8%7Cci%3Df300863a44af27372e2bc3d2fdb3846977c0cd74%7Ctr%3Dslsl%7Csn%3D388377%7Chk%3Dfde1ea67a61ff443efabb7444c62711d7b182e7b" TargetMode="External"/><Relationship Id="rId7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pple.com/kr/shop/buy-ipad/ipad-air" TargetMode="External"/><Relationship Id="rId2" Type="http://schemas.openxmlformats.org/officeDocument/2006/relationships/hyperlink" Target="https://brand.naver.com/bose/category/986e035330c4498da2e7102765f1e059?cp=1" TargetMode="External"/><Relationship Id="rId3" Type="http://schemas.openxmlformats.org/officeDocument/2006/relationships/hyperlink" Target="https://www.apple.com/kr/airpods/" TargetMode="External"/><Relationship Id="rId4" Type="http://schemas.openxmlformats.org/officeDocument/2006/relationships/hyperlink" Target="https://smartstore.naver.com/tkretail/products/10437531956?n_media=27758&amp;n_query=%EB%B3%B4%EC%A1%B0%EB%B0%B0%ED%84%B0%EB%A6%AC%EA%B0%81%EC%9D%B8&amp;n_rank=2&amp;n_ad_group=grp-a001-02-000000042873524&amp;n_ad=nad-a001-02-000000305911489&amp;n_campaign_type=2&amp;n_mall_id=tkretail&amp;n_mall_pid=10437531956&amp;n_ad_group_type=2&amp;n_match=3&amp;NaPm=ct%3Dm3r1n4yg%7Cci%3D0ya0002lVhTBBqSX01in%7Ctr%3Dpla%7Chk%3D340b3cdc37e531e26535485568fff0bcb0be1914%7Cnacn%3DVB2kBMAOWaBa" TargetMode="External"/><Relationship Id="rId5" Type="http://schemas.openxmlformats.org/officeDocument/2006/relationships/hyperlink" Target="https://map.naver.com/p/search/%ED%8F%AC%EC%8A%A4%ED%84%B0%20%EC%9D%B8%EC%87%84/place/31950267?searchType=place&amp;placePath=%2Fhome%3Fentry%3Dpll&amp;lng=126.9538089&amp;lat=37.4754955&amp;c=16.54,0,0,0,dh" TargetMode="External"/><Relationship Id="rId6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brand.naver.com/bose/products/10829152663?nl-query=%ED%97%A4%EB%93%9C%EC%85%8B+%EB%B3%B4%EC%8A%A4&amp;nl-ts-pid=ixVrKsqo15wssflzEW4sssssteC-338267&amp;NaPm=ct%3Dm2oado5k%7Cci%3Dd1ca415bd8720e7ea3039c5d768d0c8548dff979%7Ctr%3Dsls%7Csn%3D1116381%7Chk%3D7c2e460ba48d2d24fddbf0ca52d5e7eda8f63efb" TargetMode="External"/><Relationship Id="rId2" Type="http://schemas.openxmlformats.org/officeDocument/2006/relationships/hyperlink" Target="https://smartstore.naver.com/krovan/products/4593197574?NaPm=ct%3Dm1okguhk%7Cci%3D4285920709583ac8b0b271f942077780eca023f9%7Ctr%3Dslsl%7Csn%3D980170%7Chk%3Da7fccd97eb666a9d4d8c8dd379fcb90f1729fa2c&amp;nl-au=39018278b3fd42cfaea99151346e7d00&amp;nl-query=%EC%9A%B0%EC%82%B0+%EA%B0%81%EC%9D%B8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hoamdining.com/?page_id=3792" TargetMode="External"/><Relationship Id="rId2" Type="http://schemas.openxmlformats.org/officeDocument/2006/relationships/hyperlink" Target="https://hoamdining.com/?page_id=4155" TargetMode="External"/><Relationship Id="rId3" Type="http://schemas.openxmlformats.org/officeDocument/2006/relationships/hyperlink" Target="https://hoamdining.com/?page_id=4157" TargetMode="External"/><Relationship Id="rId4" Type="http://schemas.openxmlformats.org/officeDocument/2006/relationships/hyperlink" Target="https://www.rakgujung.co.kr/catering/catering02.php" TargetMode="External"/><Relationship Id="rId9" Type="http://schemas.openxmlformats.org/officeDocument/2006/relationships/drawing" Target="../drawings/drawing9.xml"/><Relationship Id="rId5" Type="http://schemas.openxmlformats.org/officeDocument/2006/relationships/hyperlink" Target="https://snufacultyclub.com/page.php?pgid=dining5" TargetMode="External"/><Relationship Id="rId6" Type="http://schemas.openxmlformats.org/officeDocument/2006/relationships/hyperlink" Target="https://oldcns.snu.ac.kr/kor/academic/room_list.php?idx=140&amp;m=7" TargetMode="External"/><Relationship Id="rId7" Type="http://schemas.openxmlformats.org/officeDocument/2006/relationships/hyperlink" Target="https://www.rakgujung.co.kr/reservation/reservation01.php" TargetMode="External"/><Relationship Id="rId8" Type="http://schemas.openxmlformats.org/officeDocument/2006/relationships/hyperlink" Target="https://humanities.snu.ac.kr/campus-life/reservation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1.22" defaultRowHeight="15.0"/>
  <cols>
    <col customWidth="1" min="1" max="1" width="2.44"/>
    <col customWidth="1" min="2" max="2" width="9.33"/>
    <col customWidth="1" min="3" max="4" width="10.78"/>
    <col customWidth="1" min="5" max="5" width="10.67"/>
    <col customWidth="1" min="6" max="6" width="16.33"/>
    <col customWidth="1" min="7" max="7" width="10.78"/>
    <col customWidth="1" min="8" max="8" width="11.11"/>
    <col customWidth="1" min="9" max="9" width="44.78"/>
    <col customWidth="1" min="10" max="10" width="15.33"/>
    <col customWidth="1" hidden="1" min="11" max="11" width="26.33"/>
    <col customWidth="1" min="12" max="12" width="9.78"/>
    <col customWidth="1" min="13" max="13" width="10.78"/>
    <col customWidth="1" min="14" max="26" width="10.56"/>
  </cols>
  <sheetData>
    <row r="1" ht="16.5" hidden="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hidden="1" customHeight="1">
      <c r="A2" s="1"/>
      <c r="B2" s="1"/>
      <c r="C2" s="2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hidden="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hidden="1" customHeight="1">
      <c r="A4" s="1"/>
      <c r="B4" s="1"/>
      <c r="C4" s="3" t="s">
        <v>1</v>
      </c>
      <c r="D4" s="4"/>
      <c r="E4" s="4"/>
      <c r="F4" s="4"/>
      <c r="G4" s="5"/>
      <c r="H4" s="6" t="s">
        <v>2</v>
      </c>
      <c r="I4" s="6" t="s">
        <v>3</v>
      </c>
      <c r="J4" s="7"/>
      <c r="K4" s="6" t="s">
        <v>4</v>
      </c>
      <c r="L4" s="6" t="s">
        <v>5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hidden="1" customHeight="1">
      <c r="A5" s="1"/>
      <c r="B5" s="1"/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9"/>
      <c r="I5" s="9"/>
      <c r="J5" s="10"/>
      <c r="K5" s="9"/>
      <c r="L5" s="9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hidden="1" customHeight="1">
      <c r="A6" s="1"/>
      <c r="B6" s="1"/>
      <c r="C6" s="11" t="s">
        <v>11</v>
      </c>
      <c r="D6" s="11" t="s">
        <v>12</v>
      </c>
      <c r="E6" s="11" t="s">
        <v>13</v>
      </c>
      <c r="F6" s="11" t="s">
        <v>13</v>
      </c>
      <c r="G6" s="12" t="s">
        <v>14</v>
      </c>
      <c r="H6" s="13">
        <v>800000.0</v>
      </c>
      <c r="I6" s="13">
        <v>0.0</v>
      </c>
      <c r="J6" s="13"/>
      <c r="K6" s="13">
        <f t="shared" ref="K6:K14" si="1">H6-SUM(I6:J6)</f>
        <v>800000</v>
      </c>
      <c r="L6" s="12" t="s">
        <v>15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hidden="1" customHeight="1">
      <c r="A7" s="1"/>
      <c r="B7" s="1"/>
      <c r="C7" s="11" t="s">
        <v>11</v>
      </c>
      <c r="D7" s="11" t="s">
        <v>12</v>
      </c>
      <c r="E7" s="11" t="s">
        <v>16</v>
      </c>
      <c r="F7" s="11" t="s">
        <v>17</v>
      </c>
      <c r="G7" s="12" t="s">
        <v>14</v>
      </c>
      <c r="H7" s="13">
        <v>180000.0</v>
      </c>
      <c r="I7" s="13">
        <v>71800.0</v>
      </c>
      <c r="J7" s="13"/>
      <c r="K7" s="13">
        <f t="shared" si="1"/>
        <v>108200</v>
      </c>
      <c r="L7" s="12" t="s">
        <v>18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hidden="1" customHeight="1">
      <c r="A8" s="1"/>
      <c r="B8" s="1"/>
      <c r="C8" s="11" t="s">
        <v>11</v>
      </c>
      <c r="D8" s="11" t="s">
        <v>19</v>
      </c>
      <c r="E8" s="11" t="s">
        <v>20</v>
      </c>
      <c r="F8" s="11" t="s">
        <v>20</v>
      </c>
      <c r="G8" s="12" t="s">
        <v>14</v>
      </c>
      <c r="H8" s="13">
        <v>220000.0</v>
      </c>
      <c r="I8" s="13">
        <v>0.0</v>
      </c>
      <c r="J8" s="13"/>
      <c r="K8" s="13">
        <f t="shared" si="1"/>
        <v>220000</v>
      </c>
      <c r="L8" s="12" t="s">
        <v>18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hidden="1" customHeight="1">
      <c r="A9" s="1"/>
      <c r="B9" s="1"/>
      <c r="C9" s="11" t="s">
        <v>11</v>
      </c>
      <c r="D9" s="11" t="s">
        <v>19</v>
      </c>
      <c r="E9" s="11" t="s">
        <v>21</v>
      </c>
      <c r="F9" s="11" t="s">
        <v>21</v>
      </c>
      <c r="G9" s="12" t="s">
        <v>14</v>
      </c>
      <c r="H9" s="13">
        <v>200000.0</v>
      </c>
      <c r="I9" s="13">
        <v>0.0</v>
      </c>
      <c r="J9" s="13"/>
      <c r="K9" s="13">
        <f t="shared" si="1"/>
        <v>200000</v>
      </c>
      <c r="L9" s="12" t="s">
        <v>22</v>
      </c>
      <c r="M9" s="14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hidden="1" customHeight="1">
      <c r="A10" s="1"/>
      <c r="B10" s="1"/>
      <c r="C10" s="11" t="s">
        <v>23</v>
      </c>
      <c r="D10" s="11" t="s">
        <v>24</v>
      </c>
      <c r="E10" s="11" t="s">
        <v>25</v>
      </c>
      <c r="F10" s="11" t="s">
        <v>26</v>
      </c>
      <c r="G10" s="12" t="s">
        <v>14</v>
      </c>
      <c r="H10" s="13">
        <v>3600000.0</v>
      </c>
      <c r="I10" s="13">
        <v>3600000.0</v>
      </c>
      <c r="J10" s="13"/>
      <c r="K10" s="13">
        <f t="shared" si="1"/>
        <v>0</v>
      </c>
      <c r="L10" s="11" t="s">
        <v>27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hidden="1" customHeight="1">
      <c r="A11" s="1"/>
      <c r="B11" s="1"/>
      <c r="C11" s="15" t="s">
        <v>11</v>
      </c>
      <c r="D11" s="15" t="s">
        <v>12</v>
      </c>
      <c r="E11" s="15" t="s">
        <v>16</v>
      </c>
      <c r="F11" s="16" t="s">
        <v>28</v>
      </c>
      <c r="G11" s="11" t="s">
        <v>29</v>
      </c>
      <c r="H11" s="13">
        <v>1500000.0</v>
      </c>
      <c r="I11" s="13">
        <v>600000.0</v>
      </c>
      <c r="J11" s="13"/>
      <c r="K11" s="13">
        <f t="shared" si="1"/>
        <v>900000</v>
      </c>
      <c r="L11" s="11" t="s">
        <v>30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hidden="1" customHeight="1">
      <c r="A12" s="1"/>
      <c r="B12" s="1"/>
      <c r="C12" s="17"/>
      <c r="D12" s="17"/>
      <c r="E12" s="17"/>
      <c r="F12" s="17"/>
      <c r="G12" s="11" t="s">
        <v>17</v>
      </c>
      <c r="H12" s="13">
        <v>2040000.0</v>
      </c>
      <c r="I12" s="13">
        <v>409700.0</v>
      </c>
      <c r="J12" s="13"/>
      <c r="K12" s="13">
        <f t="shared" si="1"/>
        <v>1630300</v>
      </c>
      <c r="L12" s="11" t="s">
        <v>18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hidden="1" customHeight="1">
      <c r="A13" s="1"/>
      <c r="B13" s="1"/>
      <c r="C13" s="17"/>
      <c r="D13" s="17"/>
      <c r="E13" s="17"/>
      <c r="F13" s="17"/>
      <c r="G13" s="11" t="s">
        <v>31</v>
      </c>
      <c r="H13" s="13">
        <v>4000000.0</v>
      </c>
      <c r="I13" s="13">
        <v>0.0</v>
      </c>
      <c r="J13" s="13"/>
      <c r="K13" s="13">
        <f t="shared" si="1"/>
        <v>4000000</v>
      </c>
      <c r="L13" s="11" t="s">
        <v>32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hidden="1" customHeight="1">
      <c r="A14" s="1"/>
      <c r="B14" s="1"/>
      <c r="C14" s="9"/>
      <c r="D14" s="9"/>
      <c r="E14" s="9"/>
      <c r="F14" s="9"/>
      <c r="G14" s="11" t="s">
        <v>33</v>
      </c>
      <c r="H14" s="13">
        <v>3700000.0</v>
      </c>
      <c r="I14" s="13">
        <v>0.0</v>
      </c>
      <c r="J14" s="13"/>
      <c r="K14" s="13">
        <f t="shared" si="1"/>
        <v>3700000</v>
      </c>
      <c r="L14" s="11" t="s">
        <v>18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hidden="1" customHeight="1">
      <c r="A15" s="1"/>
      <c r="B15" s="1"/>
      <c r="C15" s="18" t="s">
        <v>34</v>
      </c>
      <c r="D15" s="4"/>
      <c r="E15" s="4"/>
      <c r="F15" s="4"/>
      <c r="G15" s="5"/>
      <c r="H15" s="19">
        <f t="shared" ref="H15:I15" si="2">SUM(H6:H14)</f>
        <v>16240000</v>
      </c>
      <c r="I15" s="19">
        <f t="shared" si="2"/>
        <v>4681500</v>
      </c>
      <c r="J15" s="19"/>
      <c r="K15" s="19">
        <f>SUM(K6:K14)</f>
        <v>11558500</v>
      </c>
      <c r="L15" s="12" t="s">
        <v>14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0" hidden="1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hidden="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2" t="s">
        <v>35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8" t="s">
        <v>36</v>
      </c>
      <c r="C21" s="8" t="s">
        <v>10</v>
      </c>
      <c r="D21" s="3" t="s">
        <v>37</v>
      </c>
      <c r="E21" s="5"/>
      <c r="F21" s="8" t="s">
        <v>38</v>
      </c>
      <c r="G21" s="8" t="s">
        <v>39</v>
      </c>
      <c r="H21" s="8" t="s">
        <v>40</v>
      </c>
      <c r="I21" s="8" t="s">
        <v>41</v>
      </c>
      <c r="J21" s="8"/>
      <c r="K21" s="8" t="s">
        <v>42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20" t="s">
        <v>43</v>
      </c>
      <c r="C22" s="11" t="s">
        <v>31</v>
      </c>
      <c r="D22" s="21" t="s">
        <v>44</v>
      </c>
      <c r="E22" s="5"/>
      <c r="F22" s="13">
        <v>0.0</v>
      </c>
      <c r="G22" s="11">
        <v>1.0</v>
      </c>
      <c r="H22" s="13">
        <v>0.0</v>
      </c>
      <c r="I22" s="11" t="s">
        <v>45</v>
      </c>
      <c r="J22" s="15"/>
      <c r="K22" s="11" t="s">
        <v>46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7"/>
      <c r="C23" s="11" t="s">
        <v>31</v>
      </c>
      <c r="D23" s="21" t="s">
        <v>47</v>
      </c>
      <c r="E23" s="5"/>
      <c r="F23" s="13">
        <v>30000.0</v>
      </c>
      <c r="G23" s="11">
        <v>33.0</v>
      </c>
      <c r="H23" s="13">
        <f t="shared" ref="H23:H31" si="3">F23*G23</f>
        <v>990000</v>
      </c>
      <c r="I23" s="11" t="s">
        <v>48</v>
      </c>
      <c r="J23" s="17"/>
      <c r="K23" s="11" t="s">
        <v>46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7"/>
      <c r="C24" s="15" t="s">
        <v>31</v>
      </c>
      <c r="D24" s="15" t="s">
        <v>49</v>
      </c>
      <c r="E24" s="11" t="s">
        <v>50</v>
      </c>
      <c r="F24" s="13">
        <v>899000.0</v>
      </c>
      <c r="G24" s="11">
        <v>1.0</v>
      </c>
      <c r="H24" s="13">
        <f t="shared" si="3"/>
        <v>899000</v>
      </c>
      <c r="I24" s="11" t="s">
        <v>51</v>
      </c>
      <c r="J24" s="17"/>
      <c r="K24" s="11" t="s">
        <v>52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7"/>
      <c r="C25" s="17"/>
      <c r="D25" s="17"/>
      <c r="E25" s="11" t="s">
        <v>53</v>
      </c>
      <c r="F25" s="13">
        <v>459000.0</v>
      </c>
      <c r="G25" s="11">
        <v>2.0</v>
      </c>
      <c r="H25" s="13">
        <f t="shared" si="3"/>
        <v>918000</v>
      </c>
      <c r="I25" s="11" t="s">
        <v>54</v>
      </c>
      <c r="J25" s="17"/>
      <c r="K25" s="11" t="s">
        <v>52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7"/>
      <c r="C26" s="9"/>
      <c r="D26" s="9"/>
      <c r="E26" s="11" t="s">
        <v>55</v>
      </c>
      <c r="F26" s="13">
        <v>269000.0</v>
      </c>
      <c r="G26" s="11">
        <v>3.0</v>
      </c>
      <c r="H26" s="13">
        <f t="shared" si="3"/>
        <v>807000</v>
      </c>
      <c r="I26" s="11" t="s">
        <v>56</v>
      </c>
      <c r="J26" s="17"/>
      <c r="K26" s="11" t="s">
        <v>52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7"/>
      <c r="C27" s="15" t="s">
        <v>31</v>
      </c>
      <c r="D27" s="15" t="s">
        <v>57</v>
      </c>
      <c r="E27" s="11" t="s">
        <v>58</v>
      </c>
      <c r="F27" s="13">
        <v>21600.0</v>
      </c>
      <c r="G27" s="11">
        <v>2.0</v>
      </c>
      <c r="H27" s="13">
        <f t="shared" si="3"/>
        <v>43200</v>
      </c>
      <c r="I27" s="11" t="s">
        <v>59</v>
      </c>
      <c r="J27" s="17"/>
      <c r="K27" s="11" t="s">
        <v>60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7"/>
      <c r="C28" s="17"/>
      <c r="D28" s="17"/>
      <c r="E28" s="11" t="s">
        <v>61</v>
      </c>
      <c r="F28" s="13">
        <v>19200.0</v>
      </c>
      <c r="G28" s="11">
        <v>1.0</v>
      </c>
      <c r="H28" s="13">
        <f t="shared" si="3"/>
        <v>19200</v>
      </c>
      <c r="I28" s="11" t="s">
        <v>62</v>
      </c>
      <c r="J28" s="17"/>
      <c r="K28" s="11" t="s">
        <v>60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7"/>
      <c r="C29" s="17"/>
      <c r="D29" s="17"/>
      <c r="E29" s="15" t="s">
        <v>63</v>
      </c>
      <c r="F29" s="13">
        <v>27000.0</v>
      </c>
      <c r="G29" s="11">
        <v>1.0</v>
      </c>
      <c r="H29" s="13">
        <f t="shared" si="3"/>
        <v>27000</v>
      </c>
      <c r="I29" s="11" t="s">
        <v>64</v>
      </c>
      <c r="J29" s="17"/>
      <c r="K29" s="1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7"/>
      <c r="C30" s="9"/>
      <c r="D30" s="9"/>
      <c r="E30" s="9"/>
      <c r="F30" s="13">
        <v>23000.0</v>
      </c>
      <c r="G30" s="11">
        <v>2.0</v>
      </c>
      <c r="H30" s="13">
        <f t="shared" si="3"/>
        <v>46000</v>
      </c>
      <c r="I30" s="11" t="s">
        <v>64</v>
      </c>
      <c r="J30" s="17"/>
      <c r="K30" s="11" t="s">
        <v>60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7"/>
      <c r="C31" s="11" t="s">
        <v>31</v>
      </c>
      <c r="D31" s="21" t="s">
        <v>65</v>
      </c>
      <c r="E31" s="5"/>
      <c r="F31" s="13">
        <v>12900.0</v>
      </c>
      <c r="G31" s="11">
        <v>50.0</v>
      </c>
      <c r="H31" s="13">
        <f t="shared" si="3"/>
        <v>645000</v>
      </c>
      <c r="I31" s="11" t="s">
        <v>66</v>
      </c>
      <c r="J31" s="17"/>
      <c r="K31" s="11" t="s">
        <v>60</v>
      </c>
      <c r="L31" s="2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7"/>
      <c r="C32" s="11" t="s">
        <v>31</v>
      </c>
      <c r="D32" s="21" t="s">
        <v>67</v>
      </c>
      <c r="E32" s="5"/>
      <c r="F32" s="13">
        <v>0.0</v>
      </c>
      <c r="G32" s="11">
        <v>8.0</v>
      </c>
      <c r="H32" s="13">
        <v>340000.0</v>
      </c>
      <c r="I32" s="11" t="s">
        <v>68</v>
      </c>
      <c r="J32" s="17"/>
      <c r="K32" s="11" t="s">
        <v>69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7"/>
      <c r="C33" s="11" t="s">
        <v>31</v>
      </c>
      <c r="D33" s="21" t="s">
        <v>70</v>
      </c>
      <c r="E33" s="5"/>
      <c r="F33" s="13">
        <v>2270.0</v>
      </c>
      <c r="G33" s="11">
        <v>6.0</v>
      </c>
      <c r="H33" s="13">
        <f t="shared" ref="H33:H37" si="4">F33*G33</f>
        <v>13620</v>
      </c>
      <c r="I33" s="12" t="s">
        <v>14</v>
      </c>
      <c r="J33" s="17"/>
      <c r="K33" s="11" t="s">
        <v>60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9"/>
      <c r="C34" s="11" t="s">
        <v>31</v>
      </c>
      <c r="D34" s="21" t="s">
        <v>71</v>
      </c>
      <c r="E34" s="5"/>
      <c r="F34" s="13">
        <v>3730.0</v>
      </c>
      <c r="G34" s="11">
        <v>4.0</v>
      </c>
      <c r="H34" s="13">
        <f t="shared" si="4"/>
        <v>14920</v>
      </c>
      <c r="I34" s="12" t="s">
        <v>14</v>
      </c>
      <c r="J34" s="17"/>
      <c r="K34" s="11" t="s">
        <v>60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23" t="s">
        <v>72</v>
      </c>
      <c r="C35" s="11" t="s">
        <v>20</v>
      </c>
      <c r="D35" s="21" t="s">
        <v>73</v>
      </c>
      <c r="E35" s="5"/>
      <c r="F35" s="13">
        <v>20900.0</v>
      </c>
      <c r="G35" s="11">
        <v>1.0</v>
      </c>
      <c r="H35" s="13">
        <f t="shared" si="4"/>
        <v>20900</v>
      </c>
      <c r="I35" s="11" t="s">
        <v>74</v>
      </c>
      <c r="J35" s="17"/>
      <c r="K35" s="11" t="s">
        <v>60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7"/>
      <c r="C36" s="11" t="s">
        <v>20</v>
      </c>
      <c r="D36" s="21" t="s">
        <v>75</v>
      </c>
      <c r="E36" s="5"/>
      <c r="F36" s="13">
        <v>69000.0</v>
      </c>
      <c r="G36" s="11">
        <v>1.0</v>
      </c>
      <c r="H36" s="13">
        <f t="shared" si="4"/>
        <v>69000</v>
      </c>
      <c r="I36" s="11" t="s">
        <v>74</v>
      </c>
      <c r="J36" s="17"/>
      <c r="K36" s="11" t="s">
        <v>60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7"/>
      <c r="C37" s="11" t="s">
        <v>13</v>
      </c>
      <c r="D37" s="21" t="s">
        <v>76</v>
      </c>
      <c r="E37" s="5"/>
      <c r="F37" s="13">
        <v>22000.0</v>
      </c>
      <c r="G37" s="11">
        <v>15.0</v>
      </c>
      <c r="H37" s="13">
        <f t="shared" si="4"/>
        <v>330000</v>
      </c>
      <c r="I37" s="11" t="s">
        <v>77</v>
      </c>
      <c r="J37" s="17"/>
      <c r="K37" s="11" t="s">
        <v>78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9"/>
      <c r="C38" s="11" t="s">
        <v>13</v>
      </c>
      <c r="D38" s="21" t="s">
        <v>79</v>
      </c>
      <c r="E38" s="5"/>
      <c r="F38" s="13">
        <v>0.0</v>
      </c>
      <c r="G38" s="11">
        <v>10.0</v>
      </c>
      <c r="H38" s="13">
        <v>200000.0</v>
      </c>
      <c r="I38" s="11" t="s">
        <v>80</v>
      </c>
      <c r="J38" s="9"/>
      <c r="K38" s="11" t="s">
        <v>81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8" t="s">
        <v>82</v>
      </c>
      <c r="C39" s="4"/>
      <c r="D39" s="4"/>
      <c r="E39" s="4"/>
      <c r="F39" s="4"/>
      <c r="G39" s="5"/>
      <c r="H39" s="19">
        <f>SUM(H22:H36)</f>
        <v>4852840</v>
      </c>
      <c r="I39" s="24" t="s">
        <v>4</v>
      </c>
      <c r="J39" s="19">
        <f>K39-SUM(H22:H34)</f>
        <v>237060</v>
      </c>
      <c r="K39" s="13">
        <f>M39+M40</f>
        <v>5000000</v>
      </c>
      <c r="L39" s="25" t="s">
        <v>31</v>
      </c>
      <c r="M39" s="26">
        <v>4000000.0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0" customHeight="1">
      <c r="A40" s="1"/>
      <c r="B40" s="1"/>
      <c r="C40" s="1"/>
      <c r="D40" s="1"/>
      <c r="E40" s="1"/>
      <c r="F40" s="1"/>
      <c r="G40" s="1"/>
      <c r="H40" s="27"/>
      <c r="I40" s="28"/>
      <c r="J40" s="29"/>
      <c r="K40" s="1"/>
      <c r="L40" s="25" t="s">
        <v>83</v>
      </c>
      <c r="M40" s="26">
        <v>1000000.0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4"/>
      <c r="D44" s="1"/>
      <c r="E44" s="1"/>
      <c r="F44" s="1"/>
      <c r="G44" s="1"/>
      <c r="H44" s="3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1">
    <mergeCell ref="E29:E30"/>
    <mergeCell ref="D31:E31"/>
    <mergeCell ref="E11:E14"/>
    <mergeCell ref="F11:F14"/>
    <mergeCell ref="D21:E21"/>
    <mergeCell ref="D22:E22"/>
    <mergeCell ref="J22:J38"/>
    <mergeCell ref="D23:E23"/>
    <mergeCell ref="D34:E34"/>
    <mergeCell ref="C4:G4"/>
    <mergeCell ref="H4:H5"/>
    <mergeCell ref="I4:I5"/>
    <mergeCell ref="K4:K5"/>
    <mergeCell ref="L4:L5"/>
    <mergeCell ref="C11:C14"/>
    <mergeCell ref="D11:D14"/>
    <mergeCell ref="C15:G15"/>
    <mergeCell ref="C24:C26"/>
    <mergeCell ref="D24:D26"/>
    <mergeCell ref="C27:C30"/>
    <mergeCell ref="D27:D30"/>
    <mergeCell ref="D32:E32"/>
    <mergeCell ref="D33:E33"/>
    <mergeCell ref="B22:B34"/>
    <mergeCell ref="B35:B38"/>
    <mergeCell ref="D35:E35"/>
    <mergeCell ref="D36:E36"/>
    <mergeCell ref="D37:E37"/>
    <mergeCell ref="D38:E38"/>
    <mergeCell ref="B39:G39"/>
    <mergeCell ref="H40:I4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1.22" defaultRowHeight="15.0"/>
  <cols>
    <col customWidth="1" min="1" max="1" width="4.0"/>
    <col customWidth="1" min="2" max="4" width="10.78"/>
    <col customWidth="1" min="5" max="5" width="16.33"/>
    <col customWidth="1" min="6" max="6" width="10.78"/>
    <col customWidth="1" min="7" max="7" width="11.11"/>
    <col customWidth="1" min="8" max="8" width="19.0"/>
    <col customWidth="1" min="9" max="9" width="10.78"/>
    <col customWidth="1" min="10" max="10" width="26.33"/>
    <col customWidth="1" min="11" max="11" width="46.0"/>
    <col customWidth="1" min="12" max="12" width="10.78"/>
    <col customWidth="1" min="13" max="26" width="10.56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3" t="s">
        <v>1</v>
      </c>
      <c r="C4" s="4"/>
      <c r="D4" s="4"/>
      <c r="E4" s="4"/>
      <c r="F4" s="5"/>
      <c r="G4" s="6" t="s">
        <v>2</v>
      </c>
      <c r="H4" s="6" t="s">
        <v>3</v>
      </c>
      <c r="I4" s="6" t="s">
        <v>84</v>
      </c>
      <c r="J4" s="6" t="s">
        <v>4</v>
      </c>
      <c r="K4" s="6" t="s">
        <v>5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9"/>
      <c r="H5" s="9"/>
      <c r="I5" s="9"/>
      <c r="J5" s="9"/>
      <c r="K5" s="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1" t="s">
        <v>11</v>
      </c>
      <c r="C6" s="11" t="s">
        <v>12</v>
      </c>
      <c r="D6" s="11" t="s">
        <v>13</v>
      </c>
      <c r="E6" s="11" t="s">
        <v>13</v>
      </c>
      <c r="F6" s="12" t="s">
        <v>14</v>
      </c>
      <c r="G6" s="13">
        <v>800000.0</v>
      </c>
      <c r="H6" s="13">
        <v>0.0</v>
      </c>
      <c r="I6" s="13">
        <v>430000.0</v>
      </c>
      <c r="J6" s="13">
        <f t="shared" ref="J6:J14" si="1">G6-SUM(H6:I6)</f>
        <v>370000</v>
      </c>
      <c r="K6" s="12" t="s">
        <v>15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11" t="s">
        <v>11</v>
      </c>
      <c r="C7" s="11" t="s">
        <v>12</v>
      </c>
      <c r="D7" s="11" t="s">
        <v>16</v>
      </c>
      <c r="E7" s="11" t="s">
        <v>17</v>
      </c>
      <c r="F7" s="12" t="s">
        <v>14</v>
      </c>
      <c r="G7" s="13">
        <v>180000.0</v>
      </c>
      <c r="H7" s="13">
        <v>71800.0</v>
      </c>
      <c r="I7" s="13">
        <v>0.0</v>
      </c>
      <c r="J7" s="13">
        <f t="shared" si="1"/>
        <v>108200</v>
      </c>
      <c r="K7" s="12" t="s">
        <v>18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11" t="s">
        <v>11</v>
      </c>
      <c r="C8" s="11" t="s">
        <v>19</v>
      </c>
      <c r="D8" s="11" t="s">
        <v>20</v>
      </c>
      <c r="E8" s="11" t="s">
        <v>20</v>
      </c>
      <c r="F8" s="12" t="s">
        <v>14</v>
      </c>
      <c r="G8" s="13">
        <v>220000.0</v>
      </c>
      <c r="H8" s="13">
        <v>0.0</v>
      </c>
      <c r="I8" s="13">
        <v>0.0</v>
      </c>
      <c r="J8" s="13">
        <f t="shared" si="1"/>
        <v>220000</v>
      </c>
      <c r="K8" s="12" t="s">
        <v>18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11" t="s">
        <v>11</v>
      </c>
      <c r="C9" s="11" t="s">
        <v>19</v>
      </c>
      <c r="D9" s="11" t="s">
        <v>21</v>
      </c>
      <c r="E9" s="11" t="s">
        <v>21</v>
      </c>
      <c r="F9" s="12" t="s">
        <v>14</v>
      </c>
      <c r="G9" s="13">
        <v>200000.0</v>
      </c>
      <c r="H9" s="13">
        <v>0.0</v>
      </c>
      <c r="I9" s="13">
        <v>0.0</v>
      </c>
      <c r="J9" s="13">
        <f t="shared" si="1"/>
        <v>200000</v>
      </c>
      <c r="K9" s="12" t="s">
        <v>22</v>
      </c>
      <c r="L9" s="1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11" t="s">
        <v>23</v>
      </c>
      <c r="C10" s="11" t="s">
        <v>24</v>
      </c>
      <c r="D10" s="11" t="s">
        <v>25</v>
      </c>
      <c r="E10" s="11" t="s">
        <v>26</v>
      </c>
      <c r="F10" s="12" t="s">
        <v>14</v>
      </c>
      <c r="G10" s="13">
        <v>3600000.0</v>
      </c>
      <c r="H10" s="13">
        <v>3600000.0</v>
      </c>
      <c r="I10" s="13">
        <f t="shared" ref="I10:I11" si="2">G10-H10</f>
        <v>0</v>
      </c>
      <c r="J10" s="13">
        <f t="shared" si="1"/>
        <v>0</v>
      </c>
      <c r="K10" s="11" t="s">
        <v>27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5" t="s">
        <v>11</v>
      </c>
      <c r="C11" s="15" t="s">
        <v>12</v>
      </c>
      <c r="D11" s="15" t="s">
        <v>16</v>
      </c>
      <c r="E11" s="16" t="s">
        <v>28</v>
      </c>
      <c r="F11" s="11" t="s">
        <v>29</v>
      </c>
      <c r="G11" s="13">
        <v>1500000.0</v>
      </c>
      <c r="H11" s="13">
        <v>600000.0</v>
      </c>
      <c r="I11" s="13">
        <f t="shared" si="2"/>
        <v>900000</v>
      </c>
      <c r="J11" s="13">
        <f t="shared" si="1"/>
        <v>0</v>
      </c>
      <c r="K11" s="11" t="s">
        <v>30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7"/>
      <c r="C12" s="17"/>
      <c r="D12" s="17"/>
      <c r="E12" s="17"/>
      <c r="F12" s="11" t="s">
        <v>17</v>
      </c>
      <c r="G12" s="13">
        <v>2040000.0</v>
      </c>
      <c r="H12" s="13">
        <v>409700.0</v>
      </c>
      <c r="I12" s="13">
        <v>0.0</v>
      </c>
      <c r="J12" s="13">
        <f t="shared" si="1"/>
        <v>1630300</v>
      </c>
      <c r="K12" s="11" t="s">
        <v>18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7"/>
      <c r="C13" s="17"/>
      <c r="D13" s="17"/>
      <c r="E13" s="17"/>
      <c r="F13" s="11" t="s">
        <v>31</v>
      </c>
      <c r="G13" s="13">
        <v>4000000.0</v>
      </c>
      <c r="H13" s="13">
        <v>0.0</v>
      </c>
      <c r="I13" s="13">
        <f>G13-H13</f>
        <v>4000000</v>
      </c>
      <c r="J13" s="13">
        <f t="shared" si="1"/>
        <v>0</v>
      </c>
      <c r="K13" s="11" t="s">
        <v>32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9"/>
      <c r="C14" s="9"/>
      <c r="D14" s="9"/>
      <c r="E14" s="9"/>
      <c r="F14" s="11" t="s">
        <v>33</v>
      </c>
      <c r="G14" s="13">
        <v>3700000.0</v>
      </c>
      <c r="H14" s="13">
        <v>0.0</v>
      </c>
      <c r="I14" s="13">
        <v>0.0</v>
      </c>
      <c r="J14" s="13">
        <f t="shared" si="1"/>
        <v>3700000</v>
      </c>
      <c r="K14" s="11" t="s">
        <v>18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8" t="s">
        <v>34</v>
      </c>
      <c r="C15" s="4"/>
      <c r="D15" s="4"/>
      <c r="E15" s="4"/>
      <c r="F15" s="5"/>
      <c r="G15" s="19">
        <f t="shared" ref="G15:J15" si="3">SUM(G6:G14)</f>
        <v>16240000</v>
      </c>
      <c r="H15" s="19">
        <f t="shared" si="3"/>
        <v>4681500</v>
      </c>
      <c r="I15" s="19">
        <f t="shared" si="3"/>
        <v>5330000</v>
      </c>
      <c r="J15" s="19">
        <f t="shared" si="3"/>
        <v>6228500</v>
      </c>
      <c r="K15" s="12" t="s">
        <v>14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2" t="s">
        <v>85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8" t="s">
        <v>10</v>
      </c>
      <c r="C21" s="3" t="s">
        <v>37</v>
      </c>
      <c r="D21" s="5"/>
      <c r="E21" s="8" t="s">
        <v>38</v>
      </c>
      <c r="F21" s="8" t="s">
        <v>39</v>
      </c>
      <c r="G21" s="8" t="s">
        <v>40</v>
      </c>
      <c r="H21" s="8" t="s">
        <v>41</v>
      </c>
      <c r="I21" s="8" t="s">
        <v>86</v>
      </c>
      <c r="J21" s="8" t="s">
        <v>42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24" t="s">
        <v>31</v>
      </c>
      <c r="C22" s="21" t="s">
        <v>44</v>
      </c>
      <c r="D22" s="5"/>
      <c r="E22" s="13">
        <v>0.0</v>
      </c>
      <c r="F22" s="11">
        <v>1.0</v>
      </c>
      <c r="G22" s="13">
        <f t="shared" ref="G22:G26" si="4">E22*F22</f>
        <v>0</v>
      </c>
      <c r="H22" s="11" t="s">
        <v>45</v>
      </c>
      <c r="I22" s="12" t="s">
        <v>14</v>
      </c>
      <c r="J22" s="11" t="s">
        <v>46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24" t="s">
        <v>31</v>
      </c>
      <c r="C23" s="21" t="s">
        <v>47</v>
      </c>
      <c r="D23" s="5"/>
      <c r="E23" s="13">
        <v>30000.0</v>
      </c>
      <c r="F23" s="11">
        <v>33.0</v>
      </c>
      <c r="G23" s="13">
        <f t="shared" si="4"/>
        <v>990000</v>
      </c>
      <c r="H23" s="11" t="s">
        <v>48</v>
      </c>
      <c r="I23" s="12" t="s">
        <v>14</v>
      </c>
      <c r="J23" s="11" t="s">
        <v>46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31" t="s">
        <v>31</v>
      </c>
      <c r="C24" s="15" t="s">
        <v>49</v>
      </c>
      <c r="D24" s="11" t="s">
        <v>50</v>
      </c>
      <c r="E24" s="13">
        <v>899000.0</v>
      </c>
      <c r="F24" s="11">
        <v>1.0</v>
      </c>
      <c r="G24" s="13">
        <f t="shared" si="4"/>
        <v>899000</v>
      </c>
      <c r="H24" s="11" t="s">
        <v>87</v>
      </c>
      <c r="I24" s="32" t="s">
        <v>87</v>
      </c>
      <c r="J24" s="11" t="s">
        <v>60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7"/>
      <c r="C25" s="17"/>
      <c r="D25" s="11" t="s">
        <v>53</v>
      </c>
      <c r="E25" s="13">
        <v>499000.0</v>
      </c>
      <c r="F25" s="11">
        <v>2.0</v>
      </c>
      <c r="G25" s="13">
        <f t="shared" si="4"/>
        <v>998000</v>
      </c>
      <c r="H25" s="11" t="s">
        <v>88</v>
      </c>
      <c r="I25" s="32" t="s">
        <v>89</v>
      </c>
      <c r="J25" s="11" t="s">
        <v>60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9"/>
      <c r="C26" s="9"/>
      <c r="D26" s="11" t="s">
        <v>55</v>
      </c>
      <c r="E26" s="13">
        <v>269000.0</v>
      </c>
      <c r="F26" s="11">
        <v>3.0</v>
      </c>
      <c r="G26" s="13">
        <f t="shared" si="4"/>
        <v>807000</v>
      </c>
      <c r="H26" s="11" t="s">
        <v>90</v>
      </c>
      <c r="I26" s="32" t="s">
        <v>91</v>
      </c>
      <c r="J26" s="11" t="s">
        <v>60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31" t="s">
        <v>31</v>
      </c>
      <c r="C27" s="15" t="s">
        <v>57</v>
      </c>
      <c r="D27" s="11" t="s">
        <v>58</v>
      </c>
      <c r="E27" s="13">
        <v>30980.0</v>
      </c>
      <c r="F27" s="11">
        <v>2.0</v>
      </c>
      <c r="G27" s="13">
        <f>E27*F27+11000</f>
        <v>72960</v>
      </c>
      <c r="H27" s="11" t="s">
        <v>59</v>
      </c>
      <c r="I27" s="33" t="s">
        <v>92</v>
      </c>
      <c r="J27" s="11" t="s">
        <v>60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7"/>
      <c r="C28" s="17"/>
      <c r="D28" s="11" t="s">
        <v>61</v>
      </c>
      <c r="E28" s="13">
        <v>12300.0</v>
      </c>
      <c r="F28" s="11">
        <v>1.0</v>
      </c>
      <c r="G28" s="13">
        <v>12300.0</v>
      </c>
      <c r="H28" s="11" t="s">
        <v>93</v>
      </c>
      <c r="I28" s="32" t="s">
        <v>94</v>
      </c>
      <c r="J28" s="11" t="s">
        <v>60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9"/>
      <c r="C29" s="9"/>
      <c r="D29" s="11" t="s">
        <v>63</v>
      </c>
      <c r="E29" s="13">
        <v>46000.0</v>
      </c>
      <c r="F29" s="11">
        <v>3.0</v>
      </c>
      <c r="G29" s="13">
        <f>E29*F29</f>
        <v>138000</v>
      </c>
      <c r="H29" s="11" t="s">
        <v>64</v>
      </c>
      <c r="I29" s="32" t="s">
        <v>63</v>
      </c>
      <c r="J29" s="11" t="s">
        <v>60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24" t="s">
        <v>31</v>
      </c>
      <c r="C30" s="21" t="s">
        <v>65</v>
      </c>
      <c r="D30" s="5"/>
      <c r="E30" s="13">
        <v>11000.0</v>
      </c>
      <c r="F30" s="11">
        <v>50.0</v>
      </c>
      <c r="G30" s="13">
        <v>653400.0</v>
      </c>
      <c r="H30" s="11" t="s">
        <v>95</v>
      </c>
      <c r="I30" s="32" t="s">
        <v>96</v>
      </c>
      <c r="J30" s="11" t="s">
        <v>60</v>
      </c>
      <c r="K30" s="2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24" t="s">
        <v>31</v>
      </c>
      <c r="C31" s="21" t="s">
        <v>67</v>
      </c>
      <c r="D31" s="5"/>
      <c r="E31" s="13">
        <v>30000.0</v>
      </c>
      <c r="F31" s="11">
        <v>8.0</v>
      </c>
      <c r="G31" s="13">
        <v>340000.0</v>
      </c>
      <c r="H31" s="11" t="s">
        <v>68</v>
      </c>
      <c r="I31" s="32" t="s">
        <v>67</v>
      </c>
      <c r="J31" s="11" t="s">
        <v>69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24" t="s">
        <v>31</v>
      </c>
      <c r="C32" s="21" t="s">
        <v>70</v>
      </c>
      <c r="D32" s="5"/>
      <c r="E32" s="13">
        <v>2270.0</v>
      </c>
      <c r="F32" s="11">
        <v>6.0</v>
      </c>
      <c r="G32" s="13">
        <f>E32*F32+3000</f>
        <v>16620</v>
      </c>
      <c r="H32" s="11"/>
      <c r="I32" s="32" t="s">
        <v>97</v>
      </c>
      <c r="J32" s="11" t="s">
        <v>60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24" t="s">
        <v>31</v>
      </c>
      <c r="C33" s="21" t="s">
        <v>75</v>
      </c>
      <c r="D33" s="5"/>
      <c r="E33" s="13">
        <v>69000.0</v>
      </c>
      <c r="F33" s="11">
        <v>1.0</v>
      </c>
      <c r="G33" s="13">
        <f t="shared" ref="G33:G35" si="5">E33*F33</f>
        <v>69000</v>
      </c>
      <c r="H33" s="11"/>
      <c r="I33" s="32" t="s">
        <v>97</v>
      </c>
      <c r="J33" s="11" t="s">
        <v>60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24" t="s">
        <v>31</v>
      </c>
      <c r="C34" s="21" t="s">
        <v>71</v>
      </c>
      <c r="D34" s="5"/>
      <c r="E34" s="13">
        <v>1615.0</v>
      </c>
      <c r="F34" s="11">
        <v>40.0</v>
      </c>
      <c r="G34" s="13">
        <f t="shared" si="5"/>
        <v>64600</v>
      </c>
      <c r="H34" s="11"/>
      <c r="I34" s="32" t="s">
        <v>97</v>
      </c>
      <c r="J34" s="11" t="s">
        <v>60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34" t="s">
        <v>13</v>
      </c>
      <c r="C35" s="21" t="s">
        <v>98</v>
      </c>
      <c r="D35" s="5"/>
      <c r="E35" s="13">
        <v>22000.0</v>
      </c>
      <c r="F35" s="11">
        <v>15.0</v>
      </c>
      <c r="G35" s="13">
        <f t="shared" si="5"/>
        <v>330000</v>
      </c>
      <c r="H35" s="11" t="s">
        <v>99</v>
      </c>
      <c r="I35" s="32" t="s">
        <v>100</v>
      </c>
      <c r="J35" s="11" t="s">
        <v>78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35" t="s">
        <v>82</v>
      </c>
      <c r="C36" s="4"/>
      <c r="D36" s="4"/>
      <c r="E36" s="4"/>
      <c r="F36" s="5"/>
      <c r="G36" s="36">
        <f>SUM(G22:G34)</f>
        <v>5060880</v>
      </c>
      <c r="H36" s="37" t="s">
        <v>4</v>
      </c>
      <c r="I36" s="36">
        <f>G13-G36</f>
        <v>-1060880</v>
      </c>
      <c r="J36" s="12" t="s">
        <v>14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27" t="s">
        <v>101</v>
      </c>
      <c r="H37" s="28"/>
      <c r="I37" s="38" t="s">
        <v>102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4" t="s">
        <v>103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4" t="s">
        <v>104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4" t="s">
        <v>105</v>
      </c>
      <c r="C42" s="1"/>
      <c r="D42" s="1"/>
      <c r="E42" s="1"/>
      <c r="F42" s="1"/>
      <c r="G42" s="30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>
        <v>990000.0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>
        <v>899000.0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>
        <v>998000.0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>
        <v>807000.0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6">
    <mergeCell ref="E11:E14"/>
    <mergeCell ref="B15:F15"/>
    <mergeCell ref="B4:F4"/>
    <mergeCell ref="G4:G5"/>
    <mergeCell ref="H4:H5"/>
    <mergeCell ref="I4:I5"/>
    <mergeCell ref="J4:J5"/>
    <mergeCell ref="K4:K5"/>
    <mergeCell ref="B11:B14"/>
    <mergeCell ref="C11:C14"/>
    <mergeCell ref="D11:D14"/>
    <mergeCell ref="C21:D21"/>
    <mergeCell ref="C22:D22"/>
    <mergeCell ref="C23:D23"/>
    <mergeCell ref="B24:B26"/>
    <mergeCell ref="C24:C26"/>
    <mergeCell ref="C35:D35"/>
    <mergeCell ref="B36:F36"/>
    <mergeCell ref="G37:H37"/>
    <mergeCell ref="B27:B29"/>
    <mergeCell ref="C27:C29"/>
    <mergeCell ref="C30:D30"/>
    <mergeCell ref="C31:D31"/>
    <mergeCell ref="C32:D32"/>
    <mergeCell ref="C33:D33"/>
    <mergeCell ref="C34:D34"/>
  </mergeCells>
  <hyperlinks>
    <hyperlink r:id="rId1" ref="I24"/>
    <hyperlink r:id="rId2" ref="I25"/>
    <hyperlink r:id="rId3" ref="I26"/>
    <hyperlink r:id="rId4" ref="I27"/>
    <hyperlink r:id="rId5" location="channelProductNo=8248548593" ref="I28"/>
    <hyperlink r:id="rId6" ref="I29"/>
    <hyperlink r:id="rId7" ref="I30"/>
    <hyperlink r:id="rId8" ref="I31"/>
    <hyperlink r:id="rId9" ref="I32"/>
    <hyperlink r:id="rId10" ref="I33"/>
    <hyperlink r:id="rId11" ref="I34"/>
    <hyperlink r:id="rId12" ref="I35"/>
  </hyperlinks>
  <printOptions/>
  <pageMargins bottom="0.75" footer="0.0" header="0.0" left="0.7" right="0.7" top="0.75"/>
  <pageSetup orientation="landscape"/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3.67"/>
    <col customWidth="1" min="2" max="2" width="12.44"/>
    <col customWidth="1" min="3" max="3" width="10.78"/>
    <col customWidth="1" min="4" max="4" width="13.0"/>
    <col customWidth="1" min="5" max="7" width="10.78"/>
    <col customWidth="1" min="8" max="8" width="26.11"/>
    <col customWidth="1" min="9" max="9" width="10.78"/>
    <col customWidth="1" min="10" max="10" width="15.33"/>
    <col customWidth="1" min="11" max="13" width="10.78"/>
    <col customWidth="1" min="14" max="14" width="13.0"/>
    <col customWidth="1" min="15" max="17" width="10.78"/>
    <col customWidth="1" min="18" max="18" width="26.11"/>
    <col customWidth="1" min="19" max="20" width="10.78"/>
    <col customWidth="1" min="21" max="26" width="10.56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39" t="s">
        <v>106</v>
      </c>
      <c r="C2" s="40" t="s">
        <v>107</v>
      </c>
      <c r="D2" s="1"/>
      <c r="E2" s="1"/>
      <c r="F2" s="1"/>
      <c r="G2" s="1"/>
      <c r="H2" s="1"/>
      <c r="I2" s="1"/>
      <c r="J2" s="1"/>
      <c r="K2" s="1"/>
      <c r="L2" s="39" t="s">
        <v>108</v>
      </c>
      <c r="M2" s="40" t="s">
        <v>109</v>
      </c>
      <c r="N2" s="1"/>
      <c r="O2" s="4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8" t="s">
        <v>110</v>
      </c>
      <c r="C3" s="8" t="s">
        <v>111</v>
      </c>
      <c r="D3" s="8" t="s">
        <v>112</v>
      </c>
      <c r="E3" s="8" t="s">
        <v>38</v>
      </c>
      <c r="F3" s="8" t="s">
        <v>39</v>
      </c>
      <c r="G3" s="8" t="s">
        <v>40</v>
      </c>
      <c r="H3" s="8" t="s">
        <v>41</v>
      </c>
      <c r="I3" s="8" t="s">
        <v>86</v>
      </c>
      <c r="J3" s="8" t="s">
        <v>113</v>
      </c>
      <c r="K3" s="1"/>
      <c r="L3" s="8" t="s">
        <v>110</v>
      </c>
      <c r="M3" s="8" t="s">
        <v>111</v>
      </c>
      <c r="N3" s="8" t="s">
        <v>112</v>
      </c>
      <c r="O3" s="8" t="s">
        <v>38</v>
      </c>
      <c r="P3" s="8" t="s">
        <v>39</v>
      </c>
      <c r="Q3" s="8" t="s">
        <v>40</v>
      </c>
      <c r="R3" s="8" t="s">
        <v>41</v>
      </c>
      <c r="S3" s="8" t="s">
        <v>86</v>
      </c>
      <c r="T3" s="8" t="s">
        <v>113</v>
      </c>
      <c r="U3" s="1"/>
      <c r="V3" s="1"/>
      <c r="W3" s="1"/>
      <c r="X3" s="1"/>
      <c r="Y3" s="1"/>
      <c r="Z3" s="1"/>
    </row>
    <row r="4" ht="16.5" customHeight="1">
      <c r="A4" s="1"/>
      <c r="B4" s="11" t="s">
        <v>31</v>
      </c>
      <c r="C4" s="11" t="s">
        <v>44</v>
      </c>
      <c r="D4" s="11" t="s">
        <v>114</v>
      </c>
      <c r="E4" s="13">
        <v>0.0</v>
      </c>
      <c r="F4" s="11">
        <v>1.0</v>
      </c>
      <c r="G4" s="13">
        <f t="shared" ref="G4:G11" si="1">E4*F4</f>
        <v>0</v>
      </c>
      <c r="H4" s="11" t="s">
        <v>115</v>
      </c>
      <c r="I4" s="42" t="s">
        <v>14</v>
      </c>
      <c r="J4" s="11" t="s">
        <v>46</v>
      </c>
      <c r="K4" s="1"/>
      <c r="L4" s="11" t="s">
        <v>31</v>
      </c>
      <c r="M4" s="11" t="s">
        <v>44</v>
      </c>
      <c r="N4" s="11" t="s">
        <v>114</v>
      </c>
      <c r="O4" s="13">
        <v>0.0</v>
      </c>
      <c r="P4" s="11">
        <v>1.0</v>
      </c>
      <c r="Q4" s="13">
        <f t="shared" ref="Q4:Q12" si="2">O4*P4</f>
        <v>0</v>
      </c>
      <c r="R4" s="11" t="s">
        <v>115</v>
      </c>
      <c r="S4" s="42" t="s">
        <v>14</v>
      </c>
      <c r="T4" s="11" t="s">
        <v>46</v>
      </c>
      <c r="U4" s="1"/>
      <c r="V4" s="1"/>
      <c r="W4" s="1"/>
      <c r="X4" s="1"/>
      <c r="Y4" s="1"/>
      <c r="Z4" s="1"/>
    </row>
    <row r="5" ht="16.5" customHeight="1">
      <c r="A5" s="1"/>
      <c r="B5" s="11" t="s">
        <v>31</v>
      </c>
      <c r="C5" s="11" t="s">
        <v>47</v>
      </c>
      <c r="D5" s="11" t="s">
        <v>116</v>
      </c>
      <c r="E5" s="13">
        <v>30000.0</v>
      </c>
      <c r="F5" s="11">
        <v>28.0</v>
      </c>
      <c r="G5" s="13">
        <f t="shared" si="1"/>
        <v>840000</v>
      </c>
      <c r="H5" s="11" t="s">
        <v>117</v>
      </c>
      <c r="I5" s="42" t="s">
        <v>14</v>
      </c>
      <c r="J5" s="11" t="s">
        <v>46</v>
      </c>
      <c r="K5" s="1"/>
      <c r="L5" s="11" t="s">
        <v>31</v>
      </c>
      <c r="M5" s="11" t="s">
        <v>47</v>
      </c>
      <c r="N5" s="11" t="s">
        <v>116</v>
      </c>
      <c r="O5" s="13">
        <v>30000.0</v>
      </c>
      <c r="P5" s="11">
        <v>28.0</v>
      </c>
      <c r="Q5" s="13">
        <f t="shared" si="2"/>
        <v>840000</v>
      </c>
      <c r="R5" s="11" t="s">
        <v>117</v>
      </c>
      <c r="S5" s="42" t="s">
        <v>14</v>
      </c>
      <c r="T5" s="11" t="s">
        <v>46</v>
      </c>
      <c r="U5" s="1"/>
      <c r="V5" s="1"/>
      <c r="W5" s="1"/>
      <c r="X5" s="1"/>
      <c r="Y5" s="1"/>
      <c r="Z5" s="1"/>
    </row>
    <row r="6" ht="16.5" customHeight="1">
      <c r="A6" s="1"/>
      <c r="B6" s="11" t="s">
        <v>31</v>
      </c>
      <c r="C6" s="11" t="s">
        <v>49</v>
      </c>
      <c r="D6" s="11" t="s">
        <v>118</v>
      </c>
      <c r="E6" s="13">
        <v>899000.0</v>
      </c>
      <c r="F6" s="11">
        <v>1.0</v>
      </c>
      <c r="G6" s="13">
        <f t="shared" si="1"/>
        <v>899000</v>
      </c>
      <c r="H6" s="12" t="s">
        <v>14</v>
      </c>
      <c r="I6" s="43" t="s">
        <v>87</v>
      </c>
      <c r="J6" s="11"/>
      <c r="K6" s="1"/>
      <c r="L6" s="11" t="s">
        <v>31</v>
      </c>
      <c r="M6" s="11" t="s">
        <v>49</v>
      </c>
      <c r="N6" s="11" t="s">
        <v>118</v>
      </c>
      <c r="O6" s="13">
        <v>899000.0</v>
      </c>
      <c r="P6" s="11">
        <v>1.0</v>
      </c>
      <c r="Q6" s="13">
        <f t="shared" si="2"/>
        <v>899000</v>
      </c>
      <c r="R6" s="12" t="s">
        <v>14</v>
      </c>
      <c r="S6" s="43" t="s">
        <v>87</v>
      </c>
      <c r="T6" s="11"/>
      <c r="U6" s="1"/>
      <c r="V6" s="1"/>
      <c r="W6" s="1"/>
      <c r="X6" s="1"/>
      <c r="Y6" s="1"/>
      <c r="Z6" s="1"/>
    </row>
    <row r="7" ht="16.5" customHeight="1">
      <c r="A7" s="1"/>
      <c r="B7" s="11" t="s">
        <v>31</v>
      </c>
      <c r="C7" s="11" t="s">
        <v>49</v>
      </c>
      <c r="D7" s="11" t="s">
        <v>119</v>
      </c>
      <c r="E7" s="13">
        <v>499900.0</v>
      </c>
      <c r="F7" s="11">
        <v>2.0</v>
      </c>
      <c r="G7" s="13">
        <f t="shared" si="1"/>
        <v>999800</v>
      </c>
      <c r="H7" s="12" t="s">
        <v>14</v>
      </c>
      <c r="I7" s="43" t="s">
        <v>89</v>
      </c>
      <c r="J7" s="11"/>
      <c r="K7" s="1"/>
      <c r="L7" s="11" t="s">
        <v>31</v>
      </c>
      <c r="M7" s="11" t="s">
        <v>49</v>
      </c>
      <c r="N7" s="11" t="s">
        <v>119</v>
      </c>
      <c r="O7" s="13">
        <v>499900.0</v>
      </c>
      <c r="P7" s="11">
        <v>2.0</v>
      </c>
      <c r="Q7" s="13">
        <f t="shared" si="2"/>
        <v>999800</v>
      </c>
      <c r="R7" s="12" t="s">
        <v>14</v>
      </c>
      <c r="S7" s="43" t="s">
        <v>89</v>
      </c>
      <c r="T7" s="11"/>
      <c r="U7" s="1"/>
      <c r="V7" s="1"/>
      <c r="W7" s="1"/>
      <c r="X7" s="1"/>
      <c r="Y7" s="1"/>
      <c r="Z7" s="1"/>
    </row>
    <row r="8" ht="16.5" customHeight="1">
      <c r="A8" s="1"/>
      <c r="B8" s="11" t="s">
        <v>31</v>
      </c>
      <c r="C8" s="11" t="s">
        <v>49</v>
      </c>
      <c r="D8" s="37" t="s">
        <v>120</v>
      </c>
      <c r="E8" s="36">
        <v>269000.0</v>
      </c>
      <c r="F8" s="37">
        <v>2.0</v>
      </c>
      <c r="G8" s="13">
        <f t="shared" si="1"/>
        <v>538000</v>
      </c>
      <c r="H8" s="12" t="s">
        <v>14</v>
      </c>
      <c r="I8" s="43" t="s">
        <v>91</v>
      </c>
      <c r="J8" s="11"/>
      <c r="K8" s="1"/>
      <c r="L8" s="11" t="s">
        <v>31</v>
      </c>
      <c r="M8" s="11" t="s">
        <v>49</v>
      </c>
      <c r="N8" s="11" t="s">
        <v>120</v>
      </c>
      <c r="O8" s="13">
        <v>269000.0</v>
      </c>
      <c r="P8" s="11">
        <v>3.0</v>
      </c>
      <c r="Q8" s="13">
        <f t="shared" si="2"/>
        <v>807000</v>
      </c>
      <c r="R8" s="12" t="s">
        <v>14</v>
      </c>
      <c r="S8" s="43" t="s">
        <v>91</v>
      </c>
      <c r="T8" s="11"/>
      <c r="U8" s="1"/>
      <c r="V8" s="1"/>
      <c r="W8" s="1"/>
      <c r="X8" s="1"/>
      <c r="Y8" s="1"/>
      <c r="Z8" s="1"/>
    </row>
    <row r="9" ht="16.5" customHeight="1">
      <c r="A9" s="1"/>
      <c r="B9" s="11" t="s">
        <v>31</v>
      </c>
      <c r="C9" s="11" t="s">
        <v>57</v>
      </c>
      <c r="D9" s="37" t="s">
        <v>92</v>
      </c>
      <c r="E9" s="36">
        <v>4500.0</v>
      </c>
      <c r="F9" s="37">
        <v>0.0</v>
      </c>
      <c r="G9" s="13">
        <f t="shared" si="1"/>
        <v>0</v>
      </c>
      <c r="H9" s="11" t="s">
        <v>121</v>
      </c>
      <c r="I9" s="42" t="s">
        <v>14</v>
      </c>
      <c r="J9" s="11"/>
      <c r="K9" s="1"/>
      <c r="L9" s="11" t="s">
        <v>31</v>
      </c>
      <c r="M9" s="11" t="s">
        <v>57</v>
      </c>
      <c r="N9" s="37" t="s">
        <v>92</v>
      </c>
      <c r="O9" s="36">
        <v>4500.0</v>
      </c>
      <c r="P9" s="37">
        <v>24.0</v>
      </c>
      <c r="Q9" s="13">
        <f t="shared" si="2"/>
        <v>108000</v>
      </c>
      <c r="R9" s="11" t="s">
        <v>121</v>
      </c>
      <c r="S9" s="42" t="s">
        <v>14</v>
      </c>
      <c r="T9" s="11"/>
      <c r="U9" s="1"/>
      <c r="V9" s="1"/>
      <c r="W9" s="1"/>
      <c r="X9" s="1"/>
      <c r="Y9" s="1"/>
      <c r="Z9" s="1"/>
    </row>
    <row r="10" ht="16.5" customHeight="1">
      <c r="A10" s="1"/>
      <c r="B10" s="11" t="s">
        <v>31</v>
      </c>
      <c r="C10" s="11" t="s">
        <v>57</v>
      </c>
      <c r="D10" s="11" t="s">
        <v>61</v>
      </c>
      <c r="E10" s="13">
        <v>12300.0</v>
      </c>
      <c r="F10" s="11">
        <v>1.0</v>
      </c>
      <c r="G10" s="13">
        <f t="shared" si="1"/>
        <v>12300</v>
      </c>
      <c r="H10" s="11" t="s">
        <v>122</v>
      </c>
      <c r="I10" s="43" t="s">
        <v>94</v>
      </c>
      <c r="J10" s="11"/>
      <c r="K10" s="1"/>
      <c r="L10" s="11" t="s">
        <v>31</v>
      </c>
      <c r="M10" s="11" t="s">
        <v>57</v>
      </c>
      <c r="N10" s="11" t="s">
        <v>61</v>
      </c>
      <c r="O10" s="13">
        <v>12300.0</v>
      </c>
      <c r="P10" s="11">
        <v>1.0</v>
      </c>
      <c r="Q10" s="13">
        <f t="shared" si="2"/>
        <v>12300</v>
      </c>
      <c r="R10" s="11" t="s">
        <v>122</v>
      </c>
      <c r="S10" s="43" t="s">
        <v>94</v>
      </c>
      <c r="T10" s="11"/>
      <c r="U10" s="1"/>
      <c r="V10" s="1"/>
      <c r="W10" s="1"/>
      <c r="X10" s="1"/>
      <c r="Y10" s="1"/>
      <c r="Z10" s="1"/>
    </row>
    <row r="11" ht="16.5" customHeight="1">
      <c r="A11" s="1"/>
      <c r="B11" s="11" t="s">
        <v>31</v>
      </c>
      <c r="C11" s="11" t="s">
        <v>57</v>
      </c>
      <c r="D11" s="11" t="s">
        <v>63</v>
      </c>
      <c r="E11" s="13">
        <v>4000.0</v>
      </c>
      <c r="F11" s="11">
        <v>5.0</v>
      </c>
      <c r="G11" s="13">
        <f t="shared" si="1"/>
        <v>20000</v>
      </c>
      <c r="H11" s="11" t="s">
        <v>123</v>
      </c>
      <c r="I11" s="42" t="s">
        <v>14</v>
      </c>
      <c r="J11" s="11"/>
      <c r="K11" s="1"/>
      <c r="L11" s="11" t="s">
        <v>31</v>
      </c>
      <c r="M11" s="11" t="s">
        <v>57</v>
      </c>
      <c r="N11" s="11" t="s">
        <v>63</v>
      </c>
      <c r="O11" s="13">
        <v>4000.0</v>
      </c>
      <c r="P11" s="11">
        <v>3.0</v>
      </c>
      <c r="Q11" s="13">
        <f t="shared" si="2"/>
        <v>12000</v>
      </c>
      <c r="R11" s="11" t="s">
        <v>123</v>
      </c>
      <c r="S11" s="42" t="s">
        <v>14</v>
      </c>
      <c r="T11" s="11"/>
      <c r="U11" s="1"/>
      <c r="V11" s="1"/>
      <c r="W11" s="1"/>
      <c r="X11" s="1"/>
      <c r="Y11" s="1"/>
      <c r="Z11" s="1"/>
    </row>
    <row r="12" ht="16.5" customHeight="1">
      <c r="A12" s="1"/>
      <c r="B12" s="11" t="s">
        <v>31</v>
      </c>
      <c r="C12" s="11" t="s">
        <v>65</v>
      </c>
      <c r="D12" s="37" t="s">
        <v>124</v>
      </c>
      <c r="E12" s="36">
        <v>11000.0</v>
      </c>
      <c r="F12" s="37">
        <v>30.0</v>
      </c>
      <c r="G12" s="13">
        <v>356400.0</v>
      </c>
      <c r="H12" s="11"/>
      <c r="I12" s="43" t="s">
        <v>96</v>
      </c>
      <c r="J12" s="11"/>
      <c r="K12" s="1"/>
      <c r="L12" s="11" t="s">
        <v>31</v>
      </c>
      <c r="M12" s="11" t="s">
        <v>65</v>
      </c>
      <c r="N12" s="37" t="s">
        <v>124</v>
      </c>
      <c r="O12" s="36">
        <v>11000.0</v>
      </c>
      <c r="P12" s="37">
        <v>0.0</v>
      </c>
      <c r="Q12" s="13">
        <f t="shared" si="2"/>
        <v>0</v>
      </c>
      <c r="R12" s="11"/>
      <c r="S12" s="43" t="s">
        <v>96</v>
      </c>
      <c r="T12" s="11"/>
      <c r="U12" s="1"/>
      <c r="V12" s="1"/>
      <c r="W12" s="1"/>
      <c r="X12" s="1"/>
      <c r="Y12" s="1"/>
      <c r="Z12" s="1"/>
    </row>
    <row r="13" ht="16.5" customHeight="1">
      <c r="A13" s="1"/>
      <c r="B13" s="11" t="s">
        <v>31</v>
      </c>
      <c r="C13" s="11" t="s">
        <v>67</v>
      </c>
      <c r="D13" s="12" t="s">
        <v>14</v>
      </c>
      <c r="E13" s="13">
        <v>30000.0</v>
      </c>
      <c r="F13" s="11">
        <v>8.0</v>
      </c>
      <c r="G13" s="13">
        <f t="shared" ref="G13:G14" si="3">E13*F13+80000</f>
        <v>320000</v>
      </c>
      <c r="H13" s="11"/>
      <c r="I13" s="43" t="s">
        <v>67</v>
      </c>
      <c r="J13" s="11"/>
      <c r="K13" s="1"/>
      <c r="L13" s="11" t="s">
        <v>31</v>
      </c>
      <c r="M13" s="11" t="s">
        <v>67</v>
      </c>
      <c r="N13" s="12" t="s">
        <v>14</v>
      </c>
      <c r="O13" s="13">
        <v>30000.0</v>
      </c>
      <c r="P13" s="11">
        <v>8.0</v>
      </c>
      <c r="Q13" s="13">
        <f t="shared" ref="Q13:Q14" si="4">O13*P13+80000</f>
        <v>320000</v>
      </c>
      <c r="R13" s="11"/>
      <c r="S13" s="43" t="s">
        <v>67</v>
      </c>
      <c r="T13" s="11"/>
      <c r="U13" s="1"/>
      <c r="V13" s="1"/>
      <c r="W13" s="1"/>
      <c r="X13" s="1"/>
      <c r="Y13" s="1"/>
      <c r="Z13" s="1"/>
    </row>
    <row r="14" ht="16.5" customHeight="1">
      <c r="A14" s="1"/>
      <c r="B14" s="11" t="s">
        <v>33</v>
      </c>
      <c r="C14" s="11" t="s">
        <v>125</v>
      </c>
      <c r="D14" s="12" t="s">
        <v>14</v>
      </c>
      <c r="E14" s="13">
        <v>22000.0</v>
      </c>
      <c r="F14" s="11">
        <v>14.0</v>
      </c>
      <c r="G14" s="13">
        <f t="shared" si="3"/>
        <v>388000</v>
      </c>
      <c r="H14" s="11" t="s">
        <v>126</v>
      </c>
      <c r="I14" s="43" t="s">
        <v>100</v>
      </c>
      <c r="J14" s="11"/>
      <c r="K14" s="1"/>
      <c r="L14" s="11" t="s">
        <v>33</v>
      </c>
      <c r="M14" s="11" t="s">
        <v>125</v>
      </c>
      <c r="N14" s="12" t="s">
        <v>14</v>
      </c>
      <c r="O14" s="13">
        <v>22000.0</v>
      </c>
      <c r="P14" s="11">
        <v>14.0</v>
      </c>
      <c r="Q14" s="13">
        <f t="shared" si="4"/>
        <v>388000</v>
      </c>
      <c r="R14" s="11" t="s">
        <v>126</v>
      </c>
      <c r="S14" s="43" t="s">
        <v>100</v>
      </c>
      <c r="T14" s="11"/>
      <c r="U14" s="1"/>
      <c r="V14" s="1"/>
      <c r="W14" s="1"/>
      <c r="X14" s="1"/>
      <c r="Y14" s="1"/>
      <c r="Z14" s="1"/>
    </row>
    <row r="15" ht="16.5" customHeight="1">
      <c r="A15" s="1"/>
      <c r="B15" s="21" t="s">
        <v>127</v>
      </c>
      <c r="C15" s="4"/>
      <c r="D15" s="4"/>
      <c r="E15" s="4"/>
      <c r="F15" s="5"/>
      <c r="G15" s="44">
        <f>SUM(G4:G13)</f>
        <v>3985500</v>
      </c>
      <c r="H15" s="4"/>
      <c r="I15" s="4"/>
      <c r="J15" s="5"/>
      <c r="K15" s="1"/>
      <c r="L15" s="21" t="s">
        <v>127</v>
      </c>
      <c r="M15" s="4"/>
      <c r="N15" s="4"/>
      <c r="O15" s="4"/>
      <c r="P15" s="5"/>
      <c r="Q15" s="44">
        <f>SUM(Q4:Q13)</f>
        <v>3998100</v>
      </c>
      <c r="R15" s="4"/>
      <c r="S15" s="4"/>
      <c r="T15" s="5"/>
      <c r="U15" s="1"/>
      <c r="V15" s="1"/>
      <c r="W15" s="1"/>
      <c r="X15" s="1"/>
      <c r="Y15" s="1"/>
      <c r="Z15" s="1"/>
    </row>
    <row r="16" ht="16.5" customHeight="1">
      <c r="A16" s="1"/>
      <c r="B16" s="21" t="s">
        <v>128</v>
      </c>
      <c r="C16" s="4"/>
      <c r="D16" s="4"/>
      <c r="E16" s="4"/>
      <c r="F16" s="5"/>
      <c r="G16" s="44">
        <f>SUM(G4:G14)</f>
        <v>4373500</v>
      </c>
      <c r="H16" s="4"/>
      <c r="I16" s="4"/>
      <c r="J16" s="5"/>
      <c r="K16" s="1"/>
      <c r="L16" s="21" t="s">
        <v>128</v>
      </c>
      <c r="M16" s="4"/>
      <c r="N16" s="4"/>
      <c r="O16" s="4"/>
      <c r="P16" s="5"/>
      <c r="Q16" s="44">
        <f>SUM(Q4:Q14)</f>
        <v>4386100</v>
      </c>
      <c r="R16" s="4"/>
      <c r="S16" s="4"/>
      <c r="T16" s="5"/>
      <c r="U16" s="1"/>
      <c r="V16" s="1"/>
      <c r="W16" s="1"/>
      <c r="X16" s="1"/>
      <c r="Y16" s="1"/>
      <c r="Z16" s="1"/>
    </row>
    <row r="17" ht="16.5" customHeight="1">
      <c r="A17" s="1"/>
      <c r="B17" s="1"/>
      <c r="C17" s="1"/>
      <c r="D17" s="1"/>
      <c r="E17" s="4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4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39" t="s">
        <v>129</v>
      </c>
      <c r="C19" s="40" t="s">
        <v>130</v>
      </c>
      <c r="D19" s="1"/>
      <c r="E19" s="4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8" t="s">
        <v>110</v>
      </c>
      <c r="C20" s="8" t="s">
        <v>111</v>
      </c>
      <c r="D20" s="8" t="s">
        <v>112</v>
      </c>
      <c r="E20" s="8" t="s">
        <v>38</v>
      </c>
      <c r="F20" s="8" t="s">
        <v>39</v>
      </c>
      <c r="G20" s="8" t="s">
        <v>40</v>
      </c>
      <c r="H20" s="8" t="s">
        <v>41</v>
      </c>
      <c r="I20" s="8" t="s">
        <v>86</v>
      </c>
      <c r="J20" s="8" t="s">
        <v>113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1" t="s">
        <v>31</v>
      </c>
      <c r="C21" s="11" t="s">
        <v>44</v>
      </c>
      <c r="D21" s="11" t="s">
        <v>114</v>
      </c>
      <c r="E21" s="13">
        <v>0.0</v>
      </c>
      <c r="F21" s="11">
        <v>1.0</v>
      </c>
      <c r="G21" s="13">
        <f t="shared" ref="G21:G28" si="5">E21*F21</f>
        <v>0</v>
      </c>
      <c r="H21" s="11" t="s">
        <v>115</v>
      </c>
      <c r="I21" s="42" t="s">
        <v>14</v>
      </c>
      <c r="J21" s="11" t="s">
        <v>46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1" t="s">
        <v>31</v>
      </c>
      <c r="C22" s="11" t="s">
        <v>47</v>
      </c>
      <c r="D22" s="11" t="s">
        <v>116</v>
      </c>
      <c r="E22" s="13">
        <v>30000.0</v>
      </c>
      <c r="F22" s="11">
        <v>28.0</v>
      </c>
      <c r="G22" s="13">
        <f t="shared" si="5"/>
        <v>840000</v>
      </c>
      <c r="H22" s="11" t="s">
        <v>117</v>
      </c>
      <c r="I22" s="42" t="s">
        <v>14</v>
      </c>
      <c r="J22" s="11" t="s">
        <v>46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1" t="s">
        <v>31</v>
      </c>
      <c r="C23" s="11" t="s">
        <v>49</v>
      </c>
      <c r="D23" s="11" t="s">
        <v>118</v>
      </c>
      <c r="E23" s="13">
        <v>899000.0</v>
      </c>
      <c r="F23" s="11">
        <v>1.0</v>
      </c>
      <c r="G23" s="13">
        <f t="shared" si="5"/>
        <v>899000</v>
      </c>
      <c r="H23" s="12" t="s">
        <v>14</v>
      </c>
      <c r="I23" s="43" t="s">
        <v>87</v>
      </c>
      <c r="J23" s="1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1" t="s">
        <v>31</v>
      </c>
      <c r="C24" s="11" t="s">
        <v>49</v>
      </c>
      <c r="D24" s="37" t="s">
        <v>119</v>
      </c>
      <c r="E24" s="36">
        <v>499900.0</v>
      </c>
      <c r="F24" s="37">
        <v>1.0</v>
      </c>
      <c r="G24" s="13">
        <f t="shared" si="5"/>
        <v>499900</v>
      </c>
      <c r="H24" s="12" t="s">
        <v>14</v>
      </c>
      <c r="I24" s="43" t="s">
        <v>89</v>
      </c>
      <c r="J24" s="1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1" t="s">
        <v>31</v>
      </c>
      <c r="C25" s="11" t="s">
        <v>49</v>
      </c>
      <c r="D25" s="11" t="s">
        <v>120</v>
      </c>
      <c r="E25" s="13">
        <v>269000.0</v>
      </c>
      <c r="F25" s="11">
        <v>3.0</v>
      </c>
      <c r="G25" s="13">
        <f t="shared" si="5"/>
        <v>807000</v>
      </c>
      <c r="H25" s="12" t="s">
        <v>14</v>
      </c>
      <c r="I25" s="43" t="s">
        <v>91</v>
      </c>
      <c r="J25" s="1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1" t="s">
        <v>31</v>
      </c>
      <c r="C26" s="11" t="s">
        <v>57</v>
      </c>
      <c r="D26" s="37" t="s">
        <v>92</v>
      </c>
      <c r="E26" s="36">
        <v>4500.0</v>
      </c>
      <c r="F26" s="37">
        <v>25.0</v>
      </c>
      <c r="G26" s="13">
        <f t="shared" si="5"/>
        <v>112500</v>
      </c>
      <c r="H26" s="11" t="s">
        <v>121</v>
      </c>
      <c r="I26" s="42" t="s">
        <v>14</v>
      </c>
      <c r="J26" s="1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1" t="s">
        <v>31</v>
      </c>
      <c r="C27" s="11" t="s">
        <v>57</v>
      </c>
      <c r="D27" s="11" t="s">
        <v>61</v>
      </c>
      <c r="E27" s="13">
        <v>12300.0</v>
      </c>
      <c r="F27" s="11">
        <v>1.0</v>
      </c>
      <c r="G27" s="13">
        <f t="shared" si="5"/>
        <v>12300</v>
      </c>
      <c r="H27" s="11" t="s">
        <v>122</v>
      </c>
      <c r="I27" s="43" t="s">
        <v>94</v>
      </c>
      <c r="J27" s="1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1" t="s">
        <v>31</v>
      </c>
      <c r="C28" s="11" t="s">
        <v>57</v>
      </c>
      <c r="D28" s="11" t="s">
        <v>63</v>
      </c>
      <c r="E28" s="13">
        <v>4000.0</v>
      </c>
      <c r="F28" s="11">
        <v>5.0</v>
      </c>
      <c r="G28" s="13">
        <f t="shared" si="5"/>
        <v>20000</v>
      </c>
      <c r="H28" s="11" t="s">
        <v>123</v>
      </c>
      <c r="I28" s="42" t="s">
        <v>14</v>
      </c>
      <c r="J28" s="1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1" t="s">
        <v>31</v>
      </c>
      <c r="C29" s="11" t="s">
        <v>65</v>
      </c>
      <c r="D29" s="37" t="s">
        <v>124</v>
      </c>
      <c r="E29" s="36">
        <v>11000.0</v>
      </c>
      <c r="F29" s="37">
        <v>30.0</v>
      </c>
      <c r="G29" s="13">
        <v>356400.0</v>
      </c>
      <c r="H29" s="11"/>
      <c r="I29" s="43" t="s">
        <v>96</v>
      </c>
      <c r="J29" s="1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1" t="s">
        <v>31</v>
      </c>
      <c r="C30" s="11" t="s">
        <v>67</v>
      </c>
      <c r="D30" s="12" t="s">
        <v>14</v>
      </c>
      <c r="E30" s="13">
        <v>30000.0</v>
      </c>
      <c r="F30" s="11">
        <v>8.0</v>
      </c>
      <c r="G30" s="13">
        <f t="shared" ref="G30:G31" si="6">E30*F30+80000</f>
        <v>320000</v>
      </c>
      <c r="H30" s="11"/>
      <c r="I30" s="43" t="s">
        <v>67</v>
      </c>
      <c r="J30" s="1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1" t="s">
        <v>33</v>
      </c>
      <c r="C31" s="11" t="s">
        <v>125</v>
      </c>
      <c r="D31" s="12" t="s">
        <v>14</v>
      </c>
      <c r="E31" s="13">
        <v>22000.0</v>
      </c>
      <c r="F31" s="11">
        <v>14.0</v>
      </c>
      <c r="G31" s="13">
        <f t="shared" si="6"/>
        <v>388000</v>
      </c>
      <c r="H31" s="11" t="s">
        <v>126</v>
      </c>
      <c r="I31" s="43" t="s">
        <v>100</v>
      </c>
      <c r="J31" s="1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21" t="s">
        <v>127</v>
      </c>
      <c r="C32" s="4"/>
      <c r="D32" s="4"/>
      <c r="E32" s="4"/>
      <c r="F32" s="5"/>
      <c r="G32" s="44">
        <f>SUM(G21:G30)</f>
        <v>3867100</v>
      </c>
      <c r="H32" s="4"/>
      <c r="I32" s="4"/>
      <c r="J32" s="5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21" t="s">
        <v>128</v>
      </c>
      <c r="C33" s="4"/>
      <c r="D33" s="4"/>
      <c r="E33" s="4"/>
      <c r="F33" s="5"/>
      <c r="G33" s="44">
        <f>SUM(G21:G31)</f>
        <v>4255100</v>
      </c>
      <c r="H33" s="4"/>
      <c r="I33" s="4"/>
      <c r="J33" s="5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4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4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4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4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4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4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4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4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4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4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4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4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4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4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4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4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4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4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4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4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4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4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4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4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4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4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4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4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4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4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4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4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4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4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4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4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4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4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4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4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4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4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4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4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4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4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4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4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4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4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4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4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4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4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4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4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4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4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4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4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4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4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4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4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4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4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4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4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4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4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4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4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4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4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4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4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4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4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4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4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4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4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4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4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4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4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4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4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4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4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4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4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4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4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4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4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4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4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4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4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4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4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4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4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4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4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4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4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4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4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4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4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4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4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4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4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4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4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4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4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4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4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4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4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4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4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4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4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4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4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4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4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4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4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4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4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4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4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4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4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4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4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4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4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4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4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4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4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4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4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4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4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4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4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4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4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4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4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4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4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4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4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4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4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4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4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4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4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4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4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4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4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4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4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4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4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4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4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4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4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4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4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4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4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4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4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4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4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4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4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4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4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4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4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4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4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4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4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4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4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4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4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4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4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4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4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4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4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4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4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4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4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4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4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4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4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4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4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4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4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4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4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4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4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4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4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4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4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4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4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4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4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4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4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4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4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4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4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4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4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4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4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4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4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4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4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4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4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4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4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4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4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4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4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4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4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4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4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4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4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4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4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4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4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4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4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4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4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4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4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4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4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4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4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4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4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4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4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4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4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4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4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4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4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4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4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4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4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4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4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4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4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4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4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4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4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4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4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4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4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4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4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4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4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4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4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4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4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4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4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4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4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4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4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4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4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4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4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4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4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4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4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4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4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4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4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4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4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4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4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4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4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4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4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4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4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4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4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4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4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4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4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4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4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4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4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4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4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4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4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4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4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4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4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4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4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4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4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4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4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4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4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4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4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4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4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4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4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4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4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4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4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4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4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4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4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4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4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4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4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4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4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4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4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4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4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4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4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4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4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4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4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4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4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4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4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4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4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4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4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4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4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4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4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4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4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4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4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4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4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4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4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4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4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4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4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4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4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4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4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4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4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4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4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4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4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4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4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4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4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4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4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4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4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4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4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4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4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4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4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4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4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4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4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4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4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4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4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4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4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4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4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4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4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4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4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4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4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4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4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4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4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4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4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4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4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4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4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4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4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4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4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4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4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4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4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4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4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4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4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4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4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4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4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4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4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4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4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4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4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4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4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4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4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4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4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4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4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4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4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4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4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4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4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4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4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4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4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4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4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4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4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4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4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4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4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4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4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4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4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4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4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4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4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4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4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4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4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4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4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4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4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4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4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4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4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4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4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4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4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4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4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4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4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4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4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4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4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4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4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4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4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4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4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4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4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4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4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4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4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4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4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4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4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4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4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4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4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4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4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4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4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4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4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4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4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4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4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4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4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4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4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4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4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4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4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4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4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4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4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4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4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4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4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4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4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4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4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4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4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4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4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4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4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4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4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4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4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4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4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4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4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4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4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4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4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4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4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4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4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4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4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4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4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4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4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4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4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4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4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4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4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4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4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4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4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4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4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4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4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4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4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4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4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4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4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4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4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4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4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4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4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4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4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4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4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4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4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4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4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4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4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4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4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4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4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4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4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4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4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4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4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4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4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4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4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4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4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4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4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4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4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4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4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4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4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4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4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4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4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4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4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4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4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4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4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4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4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4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4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4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4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4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4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4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4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4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4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4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4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4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4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4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4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4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4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4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4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4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4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4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4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4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4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4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4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4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4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4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4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4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4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4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4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4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4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4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4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4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4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4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4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4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4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4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4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4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4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4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4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4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4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4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4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4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4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4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4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4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4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4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4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4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4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4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4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4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4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4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4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4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4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4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4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4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4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4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4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4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4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4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4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4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4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4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4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4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4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4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4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4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4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4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4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4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4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4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4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4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4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4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4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4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4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4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4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4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4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4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4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4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4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4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4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4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4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4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4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4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4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4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4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4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4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4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4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4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4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4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4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4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4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4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4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4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4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4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4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4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4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4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4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4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4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4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4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4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4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4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4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4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4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4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4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4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4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4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4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4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4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4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4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4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4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4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4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4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4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4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4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4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4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4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4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4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4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4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4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4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4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4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4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4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4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4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4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4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4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4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4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4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4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4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4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4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4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4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4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4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4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4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4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4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4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4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4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4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4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4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4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4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4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4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4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4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4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4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4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4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4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4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4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4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4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4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4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4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4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4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4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4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4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4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4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4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4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4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4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4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4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4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4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4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4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4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4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4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4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4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4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4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4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4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4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4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4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4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4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4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4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4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4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4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4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4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4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4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B16:F16"/>
    <mergeCell ref="B32:F32"/>
    <mergeCell ref="G32:J32"/>
    <mergeCell ref="B33:F33"/>
    <mergeCell ref="G33:J33"/>
    <mergeCell ref="B15:F15"/>
    <mergeCell ref="G15:J15"/>
    <mergeCell ref="L15:P15"/>
    <mergeCell ref="Q15:T15"/>
    <mergeCell ref="G16:J16"/>
    <mergeCell ref="L16:P16"/>
    <mergeCell ref="Q16:T16"/>
  </mergeCells>
  <hyperlinks>
    <hyperlink r:id="rId1" ref="I6"/>
    <hyperlink r:id="rId2" ref="S6"/>
    <hyperlink r:id="rId3" ref="I7"/>
    <hyperlink r:id="rId4" ref="S7"/>
    <hyperlink r:id="rId5" ref="I8"/>
    <hyperlink r:id="rId6" ref="S8"/>
    <hyperlink r:id="rId7" location="channelProductNo=8248548593" ref="I10"/>
    <hyperlink r:id="rId8" location="channelProductNo=8248548593" ref="S10"/>
    <hyperlink r:id="rId9" ref="I12"/>
    <hyperlink r:id="rId10" ref="S12"/>
    <hyperlink r:id="rId11" ref="I13"/>
    <hyperlink r:id="rId12" ref="S13"/>
    <hyperlink r:id="rId13" ref="I14"/>
    <hyperlink r:id="rId14" ref="S14"/>
    <hyperlink r:id="rId15" ref="I23"/>
    <hyperlink r:id="rId16" ref="I24"/>
    <hyperlink r:id="rId17" ref="I25"/>
    <hyperlink r:id="rId18" location="channelProductNo=8248548593" ref="I27"/>
    <hyperlink r:id="rId19" ref="I29"/>
    <hyperlink r:id="rId20" ref="I30"/>
    <hyperlink r:id="rId21" ref="I31"/>
  </hyperlinks>
  <printOptions/>
  <pageMargins bottom="0.75" footer="0.0" header="0.0" left="0.7" right="0.7" top="0.75"/>
  <pageSetup orientation="landscape"/>
  <drawing r:id="rId2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0.78"/>
    <col customWidth="1" min="4" max="4" width="17.78"/>
    <col customWidth="1" min="5" max="5" width="52.67"/>
    <col customWidth="1" min="6" max="6" width="10.78"/>
    <col customWidth="1" min="7" max="26" width="10.56"/>
  </cols>
  <sheetData>
    <row r="1" ht="16.5" customHeight="1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ht="16.5" customHeight="1">
      <c r="A2" s="46" t="s">
        <v>131</v>
      </c>
      <c r="B2" s="46" t="s">
        <v>132</v>
      </c>
      <c r="C2" s="46" t="s">
        <v>133</v>
      </c>
      <c r="D2" s="46" t="s">
        <v>134</v>
      </c>
      <c r="E2" s="46" t="s">
        <v>135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ht="16.5" customHeight="1">
      <c r="A3" s="45" t="s">
        <v>136</v>
      </c>
      <c r="B3" s="45" t="s">
        <v>137</v>
      </c>
      <c r="C3" s="45" t="s">
        <v>138</v>
      </c>
      <c r="D3" s="45" t="s">
        <v>139</v>
      </c>
      <c r="E3" s="45" t="s">
        <v>140</v>
      </c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ht="16.5" customHeight="1">
      <c r="A4" s="45" t="s">
        <v>136</v>
      </c>
      <c r="B4" s="45" t="s">
        <v>141</v>
      </c>
      <c r="C4" s="45" t="s">
        <v>142</v>
      </c>
      <c r="D4" s="45" t="s">
        <v>143</v>
      </c>
      <c r="E4" s="45" t="s">
        <v>144</v>
      </c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ht="16.5" customHeight="1">
      <c r="A5" s="45" t="s">
        <v>136</v>
      </c>
      <c r="B5" s="45" t="s">
        <v>145</v>
      </c>
      <c r="C5" s="45" t="s">
        <v>146</v>
      </c>
      <c r="D5" s="45" t="s">
        <v>147</v>
      </c>
      <c r="E5" s="45" t="s">
        <v>144</v>
      </c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ht="16.5" customHeight="1">
      <c r="A6" s="45" t="s">
        <v>136</v>
      </c>
      <c r="B6" s="45" t="s">
        <v>148</v>
      </c>
      <c r="C6" s="45" t="s">
        <v>149</v>
      </c>
      <c r="D6" s="45" t="s">
        <v>150</v>
      </c>
      <c r="E6" s="45" t="s">
        <v>140</v>
      </c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ht="16.5" customHeight="1">
      <c r="A7" s="45" t="s">
        <v>136</v>
      </c>
      <c r="B7" s="45" t="s">
        <v>151</v>
      </c>
      <c r="C7" s="45" t="s">
        <v>152</v>
      </c>
      <c r="D7" s="45" t="s">
        <v>153</v>
      </c>
      <c r="E7" s="45" t="s">
        <v>140</v>
      </c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ht="16.5" customHeight="1">
      <c r="A8" s="45" t="s">
        <v>136</v>
      </c>
      <c r="B8" s="45" t="s">
        <v>154</v>
      </c>
      <c r="C8" s="45" t="s">
        <v>138</v>
      </c>
      <c r="D8" s="45" t="s">
        <v>155</v>
      </c>
      <c r="E8" s="45" t="s">
        <v>140</v>
      </c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ht="16.5" customHeight="1">
      <c r="A9" s="45" t="s">
        <v>136</v>
      </c>
      <c r="B9" s="45" t="s">
        <v>156</v>
      </c>
      <c r="C9" s="45" t="s">
        <v>157</v>
      </c>
      <c r="D9" s="45" t="s">
        <v>158</v>
      </c>
      <c r="E9" s="45" t="s">
        <v>140</v>
      </c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ht="16.5" customHeight="1">
      <c r="A10" s="45" t="s">
        <v>136</v>
      </c>
      <c r="B10" s="45" t="s">
        <v>159</v>
      </c>
      <c r="C10" s="45" t="s">
        <v>160</v>
      </c>
      <c r="D10" s="45" t="s">
        <v>161</v>
      </c>
      <c r="E10" s="45" t="s">
        <v>140</v>
      </c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ht="16.5" customHeight="1">
      <c r="A11" s="45" t="s">
        <v>162</v>
      </c>
      <c r="B11" s="45" t="s">
        <v>163</v>
      </c>
      <c r="C11" s="45" t="s">
        <v>142</v>
      </c>
      <c r="D11" s="45" t="s">
        <v>164</v>
      </c>
      <c r="E11" s="45" t="s">
        <v>140</v>
      </c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ht="16.5" customHeight="1">
      <c r="A12" s="45" t="s">
        <v>136</v>
      </c>
      <c r="B12" s="45" t="s">
        <v>165</v>
      </c>
      <c r="C12" s="45" t="s">
        <v>166</v>
      </c>
      <c r="D12" s="45" t="s">
        <v>167</v>
      </c>
      <c r="E12" s="45" t="s">
        <v>140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ht="16.5" customHeight="1">
      <c r="A13" s="45" t="s">
        <v>136</v>
      </c>
      <c r="B13" s="45" t="s">
        <v>168</v>
      </c>
      <c r="C13" s="45" t="s">
        <v>169</v>
      </c>
      <c r="D13" s="45" t="s">
        <v>170</v>
      </c>
      <c r="E13" s="45" t="s">
        <v>140</v>
      </c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ht="16.5" customHeight="1">
      <c r="A14" s="45" t="s">
        <v>162</v>
      </c>
      <c r="B14" s="45" t="s">
        <v>171</v>
      </c>
      <c r="C14" s="45" t="s">
        <v>172</v>
      </c>
      <c r="D14" s="45" t="s">
        <v>173</v>
      </c>
      <c r="E14" s="45" t="s">
        <v>144</v>
      </c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16.5" customHeight="1">
      <c r="A15" s="45" t="s">
        <v>162</v>
      </c>
      <c r="B15" s="45" t="s">
        <v>174</v>
      </c>
      <c r="C15" s="45" t="s">
        <v>152</v>
      </c>
      <c r="D15" s="45" t="s">
        <v>175</v>
      </c>
      <c r="E15" s="45" t="s">
        <v>140</v>
      </c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ht="16.5" customHeight="1">
      <c r="A16" s="45" t="s">
        <v>162</v>
      </c>
      <c r="B16" s="45" t="s">
        <v>176</v>
      </c>
      <c r="C16" s="45" t="s">
        <v>152</v>
      </c>
      <c r="D16" s="45" t="s">
        <v>177</v>
      </c>
      <c r="E16" s="45" t="s">
        <v>178</v>
      </c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ht="16.5" customHeight="1">
      <c r="A17" s="45" t="s">
        <v>136</v>
      </c>
      <c r="B17" s="45" t="s">
        <v>179</v>
      </c>
      <c r="C17" s="45" t="s">
        <v>180</v>
      </c>
      <c r="D17" s="45" t="s">
        <v>181</v>
      </c>
      <c r="E17" s="45" t="s">
        <v>140</v>
      </c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ht="16.5" customHeight="1">
      <c r="A18" s="45" t="s">
        <v>136</v>
      </c>
      <c r="B18" s="45" t="s">
        <v>182</v>
      </c>
      <c r="C18" s="45" t="s">
        <v>152</v>
      </c>
      <c r="D18" s="45" t="s">
        <v>183</v>
      </c>
      <c r="E18" s="45" t="s">
        <v>140</v>
      </c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ht="16.5" customHeight="1">
      <c r="A19" s="45" t="s">
        <v>136</v>
      </c>
      <c r="B19" s="45" t="s">
        <v>184</v>
      </c>
      <c r="C19" s="45" t="s">
        <v>185</v>
      </c>
      <c r="D19" s="45" t="s">
        <v>186</v>
      </c>
      <c r="E19" s="45" t="s">
        <v>140</v>
      </c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ht="16.5" customHeight="1">
      <c r="A20" s="45" t="s">
        <v>136</v>
      </c>
      <c r="B20" s="45" t="s">
        <v>187</v>
      </c>
      <c r="C20" s="45" t="s">
        <v>152</v>
      </c>
      <c r="D20" s="45" t="s">
        <v>188</v>
      </c>
      <c r="E20" s="45" t="s">
        <v>140</v>
      </c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ht="16.5" customHeight="1">
      <c r="A21" s="45" t="s">
        <v>136</v>
      </c>
      <c r="B21" s="45" t="s">
        <v>189</v>
      </c>
      <c r="C21" s="45" t="s">
        <v>166</v>
      </c>
      <c r="D21" s="45" t="s">
        <v>190</v>
      </c>
      <c r="E21" s="45" t="s">
        <v>140</v>
      </c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ht="16.5" customHeight="1">
      <c r="A22" s="45" t="s">
        <v>136</v>
      </c>
      <c r="B22" s="45" t="s">
        <v>191</v>
      </c>
      <c r="C22" s="45" t="s">
        <v>166</v>
      </c>
      <c r="D22" s="45" t="s">
        <v>192</v>
      </c>
      <c r="E22" s="45" t="s">
        <v>140</v>
      </c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ht="16.5" customHeight="1">
      <c r="A23" s="45" t="s">
        <v>136</v>
      </c>
      <c r="B23" s="45" t="s">
        <v>193</v>
      </c>
      <c r="C23" s="45" t="s">
        <v>180</v>
      </c>
      <c r="D23" s="45" t="s">
        <v>194</v>
      </c>
      <c r="E23" s="45" t="s">
        <v>140</v>
      </c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ht="16.5" customHeight="1">
      <c r="A24" s="45" t="s">
        <v>136</v>
      </c>
      <c r="B24" s="45" t="s">
        <v>195</v>
      </c>
      <c r="C24" s="45" t="s">
        <v>180</v>
      </c>
      <c r="D24" s="45" t="s">
        <v>196</v>
      </c>
      <c r="E24" s="45" t="s">
        <v>140</v>
      </c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ht="16.5" customHeight="1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ht="16.5" customHeight="1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ht="16.5" customHeight="1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ht="16.5" customHeight="1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ht="16.5" customHeight="1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ht="16.5" customHeight="1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6.5" customHeight="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6.5" customHeight="1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6.5" customHeight="1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6.5" customHeight="1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6.5" customHeight="1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6.5" customHeight="1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6.5" customHeight="1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6.5" customHeight="1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6.5" customHeight="1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6.5" customHeight="1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6.5" customHeight="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6.5" customHeight="1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16.5" customHeight="1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ht="16.5" customHeight="1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ht="16.5" customHeight="1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ht="16.5" customHeight="1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ht="16.5" customHeight="1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ht="16.5" customHeight="1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ht="16.5" customHeight="1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ht="16.5" customHeight="1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ht="16.5" customHeight="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ht="16.5" customHeight="1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ht="16.5" customHeight="1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ht="16.5" customHeight="1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ht="16.5" customHeight="1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ht="16.5" customHeight="1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ht="16.5" customHeight="1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ht="16.5" customHeight="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ht="16.5" customHeight="1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ht="16.5" customHeight="1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ht="16.5" customHeight="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ht="16.5" customHeight="1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ht="16.5" customHeight="1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ht="16.5" customHeight="1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ht="16.5" customHeight="1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ht="16.5" customHeight="1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ht="16.5" customHeight="1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ht="16.5" customHeight="1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ht="16.5" customHeight="1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ht="16.5" customHeight="1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ht="16.5" customHeight="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ht="16.5" customHeight="1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ht="16.5" customHeight="1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ht="16.5" customHeight="1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ht="16.5" customHeight="1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ht="16.5" customHeight="1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ht="16.5" customHeight="1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ht="16.5" customHeight="1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ht="16.5" customHeight="1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ht="16.5" customHeight="1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ht="16.5" customHeight="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ht="16.5" customHeight="1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ht="16.5" customHeight="1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ht="16.5" customHeight="1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ht="16.5" customHeight="1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ht="16.5" customHeight="1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ht="16.5" customHeight="1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ht="16.5" customHeight="1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ht="16.5" customHeight="1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ht="16.5" customHeight="1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ht="16.5" customHeight="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ht="16.5" customHeight="1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ht="16.5" customHeight="1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ht="16.5" customHeight="1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ht="16.5" customHeight="1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ht="16.5" customHeight="1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ht="16.5" customHeight="1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ht="16.5" customHeight="1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ht="16.5" customHeight="1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ht="16.5" customHeight="1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ht="16.5" customHeight="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ht="16.5" customHeight="1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ht="16.5" customHeight="1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ht="16.5" customHeight="1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ht="16.5" customHeight="1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ht="16.5" customHeight="1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ht="16.5" customHeight="1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ht="16.5" customHeight="1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ht="16.5" customHeight="1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ht="16.5" customHeight="1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ht="16.5" customHeight="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ht="16.5" customHeight="1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ht="16.5" customHeight="1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ht="16.5" customHeight="1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ht="16.5" customHeight="1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ht="16.5" customHeight="1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ht="16.5" customHeight="1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ht="16.5" customHeight="1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ht="16.5" customHeight="1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ht="16.5" customHeight="1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ht="16.5" customHeight="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ht="16.5" customHeight="1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ht="16.5" customHeight="1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ht="16.5" customHeight="1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ht="16.5" customHeight="1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ht="16.5" customHeight="1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ht="16.5" customHeight="1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ht="16.5" customHeight="1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ht="16.5" customHeight="1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ht="16.5" customHeight="1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ht="16.5" customHeight="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ht="16.5" customHeight="1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ht="16.5" customHeight="1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ht="16.5" customHeight="1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ht="16.5" customHeight="1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ht="16.5" customHeight="1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ht="16.5" customHeight="1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ht="16.5" customHeight="1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ht="16.5" customHeight="1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ht="16.5" customHeight="1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ht="16.5" customHeight="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ht="16.5" customHeight="1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ht="16.5" customHeight="1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ht="16.5" customHeight="1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ht="16.5" customHeight="1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ht="16.5" customHeight="1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ht="16.5" customHeight="1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ht="16.5" customHeight="1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ht="16.5" customHeight="1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ht="16.5" customHeight="1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ht="16.5" customHeight="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ht="16.5" customHeight="1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ht="16.5" customHeight="1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ht="16.5" customHeight="1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ht="16.5" customHeight="1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ht="16.5" customHeight="1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ht="16.5" customHeight="1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ht="16.5" customHeight="1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ht="16.5" customHeight="1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ht="16.5" customHeight="1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ht="16.5" customHeight="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ht="16.5" customHeight="1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ht="16.5" customHeight="1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ht="16.5" customHeight="1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ht="16.5" customHeight="1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ht="16.5" customHeight="1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ht="16.5" customHeight="1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ht="16.5" customHeight="1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ht="16.5" customHeight="1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ht="16.5" customHeight="1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ht="16.5" customHeight="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ht="16.5" customHeight="1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ht="16.5" customHeight="1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ht="16.5" customHeight="1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ht="16.5" customHeight="1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ht="16.5" customHeight="1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ht="16.5" customHeight="1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ht="16.5" customHeight="1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ht="16.5" customHeight="1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ht="16.5" customHeight="1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ht="16.5" customHeight="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ht="16.5" customHeight="1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ht="16.5" customHeight="1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ht="16.5" customHeight="1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ht="16.5" customHeight="1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ht="16.5" customHeight="1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ht="16.5" customHeight="1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ht="16.5" customHeight="1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ht="16.5" customHeight="1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ht="16.5" customHeight="1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ht="16.5" customHeight="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ht="16.5" customHeight="1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ht="16.5" customHeight="1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ht="16.5" customHeight="1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ht="16.5" customHeight="1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ht="16.5" customHeight="1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ht="16.5" customHeight="1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ht="16.5" customHeight="1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ht="16.5" customHeight="1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ht="16.5" customHeight="1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ht="16.5" customHeight="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ht="16.5" customHeight="1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ht="16.5" customHeight="1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ht="16.5" customHeight="1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ht="16.5" customHeight="1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ht="16.5" customHeight="1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ht="16.5" customHeight="1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ht="16.5" customHeight="1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ht="16.5" customHeight="1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ht="16.5" customHeight="1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ht="16.5" customHeight="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ht="16.5" customHeight="1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ht="16.5" customHeight="1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ht="16.5" customHeight="1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ht="16.5" customHeight="1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ht="16.5" customHeight="1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ht="16.5" customHeight="1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ht="16.5" customHeight="1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ht="16.5" customHeight="1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ht="16.5" customHeight="1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ht="16.5" customHeight="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ht="16.5" customHeight="1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ht="16.5" customHeight="1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ht="16.5" customHeight="1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ht="16.5" customHeight="1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ht="16.5" customHeight="1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ht="16.5" customHeight="1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ht="16.5" customHeight="1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ht="16.5" customHeight="1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ht="16.5" customHeight="1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ht="16.5" customHeight="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ht="16.5" customHeight="1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ht="16.5" customHeight="1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ht="16.5" customHeight="1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ht="16.5" customHeight="1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ht="16.5" customHeight="1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ht="16.5" customHeight="1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ht="16.5" customHeight="1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ht="16.5" customHeight="1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ht="16.5" customHeight="1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ht="16.5" customHeight="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ht="16.5" customHeight="1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ht="16.5" customHeight="1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ht="16.5" customHeight="1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ht="16.5" customHeight="1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ht="16.5" customHeight="1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ht="16.5" customHeight="1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ht="16.5" customHeight="1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ht="16.5" customHeight="1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ht="16.5" customHeight="1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ht="16.5" customHeight="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ht="16.5" customHeight="1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ht="16.5" customHeight="1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ht="16.5" customHeight="1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ht="16.5" customHeight="1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ht="16.5" customHeight="1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ht="16.5" customHeight="1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ht="16.5" customHeight="1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ht="16.5" customHeight="1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ht="16.5" customHeight="1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ht="16.5" customHeight="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ht="16.5" customHeight="1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ht="16.5" customHeight="1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ht="16.5" customHeight="1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ht="16.5" customHeight="1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ht="16.5" customHeight="1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ht="16.5" customHeight="1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ht="16.5" customHeight="1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ht="16.5" customHeight="1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ht="16.5" customHeight="1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ht="16.5" customHeight="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ht="16.5" customHeight="1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ht="16.5" customHeight="1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ht="16.5" customHeight="1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ht="16.5" customHeight="1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ht="16.5" customHeight="1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ht="16.5" customHeight="1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ht="16.5" customHeight="1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ht="16.5" customHeight="1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ht="16.5" customHeight="1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ht="16.5" customHeight="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ht="16.5" customHeight="1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ht="16.5" customHeight="1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ht="16.5" customHeight="1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ht="16.5" customHeight="1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ht="16.5" customHeight="1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ht="16.5" customHeight="1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ht="16.5" customHeight="1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ht="16.5" customHeight="1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ht="16.5" customHeight="1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ht="16.5" customHeight="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ht="16.5" customHeight="1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ht="16.5" customHeight="1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ht="16.5" customHeight="1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ht="16.5" customHeight="1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ht="16.5" customHeight="1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ht="16.5" customHeight="1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ht="16.5" customHeight="1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ht="16.5" customHeight="1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ht="16.5" customHeight="1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ht="16.5" customHeight="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ht="16.5" customHeight="1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ht="16.5" customHeight="1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ht="16.5" customHeight="1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ht="16.5" customHeight="1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ht="16.5" customHeight="1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ht="16.5" customHeight="1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ht="16.5" customHeight="1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ht="16.5" customHeight="1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ht="16.5" customHeight="1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ht="16.5" customHeight="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ht="16.5" customHeight="1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ht="16.5" customHeight="1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ht="16.5" customHeight="1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ht="16.5" customHeight="1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ht="16.5" customHeight="1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ht="16.5" customHeight="1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ht="16.5" customHeight="1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ht="16.5" customHeight="1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ht="16.5" customHeight="1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ht="16.5" customHeight="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ht="16.5" customHeight="1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ht="16.5" customHeight="1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ht="16.5" customHeight="1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ht="16.5" customHeight="1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ht="16.5" customHeight="1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ht="16.5" customHeight="1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ht="16.5" customHeight="1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ht="16.5" customHeight="1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ht="16.5" customHeight="1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ht="16.5" customHeight="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ht="16.5" customHeight="1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ht="16.5" customHeight="1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ht="16.5" customHeight="1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ht="16.5" customHeight="1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ht="16.5" customHeight="1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ht="16.5" customHeight="1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ht="16.5" customHeight="1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ht="16.5" customHeight="1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ht="16.5" customHeight="1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ht="16.5" customHeight="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ht="16.5" customHeight="1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ht="16.5" customHeight="1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ht="16.5" customHeight="1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ht="16.5" customHeight="1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ht="16.5" customHeight="1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ht="16.5" customHeight="1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ht="16.5" customHeight="1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ht="16.5" customHeight="1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ht="16.5" customHeight="1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ht="16.5" customHeight="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ht="16.5" customHeight="1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ht="16.5" customHeight="1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ht="16.5" customHeight="1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ht="16.5" customHeight="1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ht="16.5" customHeight="1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ht="16.5" customHeight="1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ht="16.5" customHeight="1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ht="16.5" customHeight="1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ht="16.5" customHeight="1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ht="16.5" customHeight="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ht="16.5" customHeight="1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ht="16.5" customHeight="1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ht="16.5" customHeight="1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ht="16.5" customHeight="1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ht="16.5" customHeight="1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ht="16.5" customHeight="1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ht="16.5" customHeight="1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ht="16.5" customHeight="1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ht="16.5" customHeight="1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ht="16.5" customHeight="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ht="16.5" customHeight="1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ht="16.5" customHeight="1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ht="16.5" customHeight="1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ht="16.5" customHeight="1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ht="16.5" customHeight="1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ht="16.5" customHeight="1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ht="16.5" customHeight="1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ht="16.5" customHeight="1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ht="16.5" customHeight="1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ht="16.5" customHeight="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ht="16.5" customHeight="1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ht="16.5" customHeight="1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ht="16.5" customHeight="1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ht="16.5" customHeight="1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ht="16.5" customHeight="1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ht="16.5" customHeight="1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ht="16.5" customHeight="1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ht="16.5" customHeight="1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ht="16.5" customHeight="1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ht="16.5" customHeight="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ht="16.5" customHeight="1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ht="16.5" customHeight="1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ht="16.5" customHeight="1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ht="16.5" customHeight="1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ht="16.5" customHeight="1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ht="16.5" customHeight="1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ht="16.5" customHeight="1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ht="16.5" customHeight="1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ht="16.5" customHeight="1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ht="16.5" customHeight="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ht="16.5" customHeight="1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ht="16.5" customHeight="1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ht="16.5" customHeight="1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ht="16.5" customHeight="1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ht="16.5" customHeight="1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ht="16.5" customHeight="1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ht="16.5" customHeight="1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ht="16.5" customHeight="1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ht="16.5" customHeight="1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ht="16.5" customHeight="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ht="16.5" customHeight="1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ht="16.5" customHeight="1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ht="16.5" customHeight="1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ht="16.5" customHeight="1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ht="16.5" customHeight="1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ht="16.5" customHeight="1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ht="16.5" customHeight="1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ht="16.5" customHeight="1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ht="16.5" customHeight="1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ht="16.5" customHeight="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ht="16.5" customHeight="1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ht="16.5" customHeight="1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ht="16.5" customHeight="1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ht="16.5" customHeight="1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ht="16.5" customHeight="1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ht="16.5" customHeight="1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ht="16.5" customHeight="1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ht="16.5" customHeight="1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ht="16.5" customHeight="1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ht="16.5" customHeight="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ht="16.5" customHeight="1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ht="16.5" customHeight="1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ht="16.5" customHeight="1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ht="16.5" customHeight="1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ht="16.5" customHeight="1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ht="16.5" customHeight="1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ht="16.5" customHeight="1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ht="16.5" customHeight="1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ht="16.5" customHeight="1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ht="16.5" customHeight="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ht="16.5" customHeight="1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ht="16.5" customHeight="1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ht="16.5" customHeight="1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ht="16.5" customHeight="1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ht="16.5" customHeight="1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ht="16.5" customHeight="1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ht="16.5" customHeight="1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ht="16.5" customHeight="1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ht="16.5" customHeight="1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ht="16.5" customHeight="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ht="16.5" customHeight="1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ht="16.5" customHeight="1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ht="16.5" customHeight="1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ht="16.5" customHeight="1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ht="16.5" customHeight="1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ht="16.5" customHeight="1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ht="16.5" customHeight="1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ht="16.5" customHeight="1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ht="16.5" customHeight="1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ht="16.5" customHeight="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ht="16.5" customHeight="1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ht="16.5" customHeight="1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ht="16.5" customHeight="1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ht="16.5" customHeight="1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ht="16.5" customHeight="1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ht="16.5" customHeight="1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ht="16.5" customHeight="1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ht="16.5" customHeight="1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ht="16.5" customHeight="1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ht="16.5" customHeight="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ht="16.5" customHeight="1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ht="16.5" customHeight="1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ht="16.5" customHeight="1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ht="16.5" customHeight="1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ht="16.5" customHeight="1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ht="16.5" customHeight="1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ht="16.5" customHeight="1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ht="16.5" customHeight="1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ht="16.5" customHeight="1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ht="16.5" customHeight="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ht="16.5" customHeight="1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ht="16.5" customHeight="1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ht="16.5" customHeight="1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ht="16.5" customHeight="1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ht="16.5" customHeight="1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ht="16.5" customHeight="1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ht="16.5" customHeight="1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ht="16.5" customHeight="1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ht="16.5" customHeight="1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ht="16.5" customHeight="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ht="16.5" customHeight="1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ht="16.5" customHeight="1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ht="16.5" customHeight="1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ht="16.5" customHeight="1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ht="16.5" customHeight="1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ht="16.5" customHeight="1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ht="16.5" customHeight="1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ht="16.5" customHeight="1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ht="16.5" customHeight="1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ht="16.5" customHeight="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ht="16.5" customHeight="1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ht="16.5" customHeight="1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ht="16.5" customHeight="1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ht="16.5" customHeight="1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ht="16.5" customHeight="1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ht="16.5" customHeight="1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ht="16.5" customHeight="1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ht="16.5" customHeight="1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ht="16.5" customHeight="1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ht="16.5" customHeight="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ht="16.5" customHeight="1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ht="16.5" customHeight="1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ht="16.5" customHeight="1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ht="16.5" customHeight="1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ht="16.5" customHeight="1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ht="16.5" customHeight="1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ht="16.5" customHeight="1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ht="16.5" customHeight="1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ht="16.5" customHeight="1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ht="16.5" customHeight="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ht="16.5" customHeight="1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ht="16.5" customHeight="1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ht="16.5" customHeight="1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ht="16.5" customHeight="1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ht="16.5" customHeight="1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ht="16.5" customHeight="1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ht="16.5" customHeight="1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ht="16.5" customHeight="1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ht="16.5" customHeight="1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ht="16.5" customHeight="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ht="16.5" customHeight="1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ht="16.5" customHeight="1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ht="16.5" customHeight="1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ht="16.5" customHeight="1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ht="16.5" customHeight="1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ht="16.5" customHeight="1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ht="16.5" customHeight="1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ht="16.5" customHeight="1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ht="16.5" customHeight="1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ht="16.5" customHeight="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ht="16.5" customHeight="1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ht="16.5" customHeight="1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ht="16.5" customHeight="1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ht="16.5" customHeight="1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ht="16.5" customHeight="1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ht="16.5" customHeight="1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ht="16.5" customHeight="1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ht="16.5" customHeight="1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ht="16.5" customHeight="1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ht="16.5" customHeight="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ht="16.5" customHeight="1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ht="16.5" customHeight="1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ht="16.5" customHeight="1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ht="16.5" customHeight="1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ht="16.5" customHeight="1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ht="16.5" customHeight="1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ht="16.5" customHeight="1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ht="16.5" customHeight="1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ht="16.5" customHeight="1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ht="16.5" customHeight="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ht="16.5" customHeight="1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ht="16.5" customHeight="1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ht="16.5" customHeight="1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ht="16.5" customHeight="1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ht="16.5" customHeight="1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ht="16.5" customHeight="1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ht="16.5" customHeight="1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ht="16.5" customHeight="1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ht="16.5" customHeight="1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ht="16.5" customHeight="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ht="16.5" customHeight="1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ht="16.5" customHeight="1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ht="16.5" customHeight="1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ht="16.5" customHeight="1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ht="16.5" customHeight="1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ht="16.5" customHeight="1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ht="16.5" customHeight="1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ht="16.5" customHeight="1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ht="16.5" customHeight="1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ht="16.5" customHeight="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ht="16.5" customHeight="1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ht="16.5" customHeight="1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ht="16.5" customHeight="1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ht="16.5" customHeight="1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ht="16.5" customHeight="1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ht="16.5" customHeight="1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ht="16.5" customHeight="1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ht="16.5" customHeight="1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ht="16.5" customHeight="1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ht="16.5" customHeight="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ht="16.5" customHeight="1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ht="16.5" customHeight="1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ht="16.5" customHeight="1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ht="16.5" customHeight="1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ht="16.5" customHeight="1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ht="16.5" customHeight="1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ht="16.5" customHeight="1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ht="16.5" customHeight="1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ht="16.5" customHeight="1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ht="16.5" customHeight="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ht="16.5" customHeight="1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ht="16.5" customHeight="1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ht="16.5" customHeight="1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ht="16.5" customHeight="1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ht="16.5" customHeight="1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ht="16.5" customHeight="1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ht="16.5" customHeight="1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ht="16.5" customHeight="1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ht="16.5" customHeight="1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ht="16.5" customHeight="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ht="16.5" customHeight="1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ht="16.5" customHeight="1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ht="16.5" customHeight="1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ht="16.5" customHeight="1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ht="16.5" customHeight="1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ht="16.5" customHeight="1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ht="16.5" customHeight="1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ht="16.5" customHeight="1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ht="16.5" customHeight="1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ht="16.5" customHeight="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ht="16.5" customHeight="1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ht="16.5" customHeight="1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ht="16.5" customHeight="1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ht="16.5" customHeight="1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ht="16.5" customHeight="1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ht="16.5" customHeight="1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ht="16.5" customHeight="1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ht="16.5" customHeight="1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ht="16.5" customHeight="1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ht="16.5" customHeight="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ht="16.5" customHeight="1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ht="16.5" customHeight="1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ht="16.5" customHeight="1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ht="16.5" customHeight="1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ht="16.5" customHeight="1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ht="16.5" customHeight="1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ht="16.5" customHeight="1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ht="16.5" customHeight="1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ht="16.5" customHeight="1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ht="16.5" customHeight="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ht="16.5" customHeight="1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ht="16.5" customHeight="1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ht="16.5" customHeight="1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ht="16.5" customHeight="1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ht="16.5" customHeight="1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ht="16.5" customHeight="1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ht="16.5" customHeight="1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ht="16.5" customHeight="1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ht="16.5" customHeight="1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ht="16.5" customHeight="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ht="16.5" customHeight="1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ht="16.5" customHeight="1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ht="16.5" customHeight="1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ht="16.5" customHeight="1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ht="16.5" customHeight="1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ht="16.5" customHeight="1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ht="16.5" customHeight="1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ht="16.5" customHeight="1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ht="16.5" customHeight="1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ht="16.5" customHeight="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ht="16.5" customHeight="1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ht="16.5" customHeight="1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ht="16.5" customHeight="1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ht="16.5" customHeight="1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ht="16.5" customHeight="1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ht="16.5" customHeight="1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ht="16.5" customHeight="1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ht="16.5" customHeight="1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ht="16.5" customHeight="1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ht="16.5" customHeight="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ht="16.5" customHeight="1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ht="16.5" customHeight="1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ht="16.5" customHeight="1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ht="16.5" customHeight="1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ht="16.5" customHeight="1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ht="16.5" customHeight="1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ht="16.5" customHeight="1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ht="16.5" customHeight="1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ht="16.5" customHeight="1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ht="16.5" customHeight="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ht="16.5" customHeight="1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ht="16.5" customHeight="1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ht="16.5" customHeight="1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ht="16.5" customHeight="1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ht="16.5" customHeight="1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ht="16.5" customHeight="1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ht="16.5" customHeight="1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ht="16.5" customHeight="1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ht="16.5" customHeight="1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ht="16.5" customHeight="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ht="16.5" customHeight="1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ht="16.5" customHeight="1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ht="16.5" customHeight="1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ht="16.5" customHeight="1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ht="16.5" customHeight="1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ht="16.5" customHeight="1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ht="16.5" customHeight="1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ht="16.5" customHeight="1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ht="16.5" customHeight="1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ht="16.5" customHeight="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ht="16.5" customHeight="1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ht="16.5" customHeight="1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ht="16.5" customHeight="1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ht="16.5" customHeight="1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ht="16.5" customHeight="1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ht="16.5" customHeight="1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ht="16.5" customHeight="1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ht="16.5" customHeight="1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ht="16.5" customHeight="1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ht="16.5" customHeight="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ht="16.5" customHeight="1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ht="16.5" customHeight="1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ht="16.5" customHeight="1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ht="16.5" customHeight="1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ht="16.5" customHeight="1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ht="16.5" customHeight="1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ht="16.5" customHeight="1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ht="16.5" customHeight="1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ht="16.5" customHeight="1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ht="16.5" customHeight="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ht="16.5" customHeight="1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ht="16.5" customHeight="1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ht="16.5" customHeight="1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ht="16.5" customHeight="1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ht="16.5" customHeight="1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ht="16.5" customHeight="1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ht="16.5" customHeight="1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ht="16.5" customHeight="1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ht="16.5" customHeight="1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ht="16.5" customHeight="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ht="16.5" customHeight="1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ht="16.5" customHeight="1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ht="16.5" customHeight="1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ht="16.5" customHeight="1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ht="16.5" customHeight="1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ht="16.5" customHeight="1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ht="16.5" customHeight="1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ht="16.5" customHeight="1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ht="16.5" customHeight="1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ht="16.5" customHeight="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ht="16.5" customHeight="1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ht="16.5" customHeight="1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ht="16.5" customHeight="1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ht="16.5" customHeight="1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ht="16.5" customHeight="1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ht="16.5" customHeight="1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ht="16.5" customHeight="1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ht="16.5" customHeight="1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ht="16.5" customHeight="1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ht="16.5" customHeight="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ht="16.5" customHeight="1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ht="16.5" customHeight="1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ht="16.5" customHeight="1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ht="16.5" customHeight="1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ht="16.5" customHeight="1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ht="16.5" customHeight="1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ht="16.5" customHeight="1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ht="16.5" customHeight="1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ht="16.5" customHeight="1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ht="16.5" customHeight="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ht="16.5" customHeight="1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ht="16.5" customHeight="1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ht="16.5" customHeight="1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ht="16.5" customHeight="1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ht="16.5" customHeight="1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ht="16.5" customHeight="1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ht="16.5" customHeight="1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ht="16.5" customHeight="1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ht="16.5" customHeight="1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ht="16.5" customHeight="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ht="16.5" customHeight="1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ht="16.5" customHeight="1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ht="16.5" customHeight="1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ht="16.5" customHeight="1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ht="16.5" customHeight="1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ht="16.5" customHeight="1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ht="16.5" customHeight="1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ht="16.5" customHeight="1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ht="16.5" customHeight="1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ht="16.5" customHeight="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ht="16.5" customHeight="1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ht="16.5" customHeight="1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ht="16.5" customHeight="1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ht="16.5" customHeight="1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ht="16.5" customHeight="1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ht="16.5" customHeight="1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ht="16.5" customHeight="1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ht="16.5" customHeight="1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ht="16.5" customHeight="1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ht="16.5" customHeight="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ht="16.5" customHeight="1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ht="16.5" customHeight="1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ht="16.5" customHeight="1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ht="16.5" customHeight="1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ht="16.5" customHeight="1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ht="16.5" customHeight="1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ht="16.5" customHeight="1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ht="16.5" customHeight="1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ht="16.5" customHeight="1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ht="16.5" customHeight="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ht="16.5" customHeight="1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ht="16.5" customHeight="1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ht="16.5" customHeight="1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ht="16.5" customHeight="1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ht="16.5" customHeight="1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ht="16.5" customHeight="1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ht="16.5" customHeight="1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ht="16.5" customHeight="1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ht="16.5" customHeight="1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ht="16.5" customHeight="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ht="16.5" customHeight="1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ht="16.5" customHeight="1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ht="16.5" customHeight="1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ht="16.5" customHeight="1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ht="16.5" customHeight="1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ht="16.5" customHeight="1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ht="16.5" customHeight="1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ht="16.5" customHeight="1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ht="16.5" customHeight="1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ht="16.5" customHeight="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ht="16.5" customHeight="1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ht="16.5" customHeight="1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ht="16.5" customHeight="1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ht="16.5" customHeight="1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ht="16.5" customHeight="1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ht="16.5" customHeight="1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ht="16.5" customHeight="1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ht="16.5" customHeight="1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ht="16.5" customHeight="1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ht="16.5" customHeight="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ht="16.5" customHeight="1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ht="16.5" customHeight="1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ht="16.5" customHeight="1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ht="16.5" customHeight="1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ht="16.5" customHeight="1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ht="16.5" customHeight="1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ht="16.5" customHeight="1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ht="16.5" customHeight="1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ht="16.5" customHeight="1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ht="16.5" customHeight="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ht="16.5" customHeight="1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ht="16.5" customHeight="1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ht="16.5" customHeight="1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ht="16.5" customHeight="1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ht="16.5" customHeight="1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ht="16.5" customHeight="1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ht="16.5" customHeight="1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ht="16.5" customHeight="1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ht="16.5" customHeight="1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ht="16.5" customHeight="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ht="16.5" customHeight="1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ht="16.5" customHeight="1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ht="16.5" customHeight="1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ht="16.5" customHeight="1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ht="16.5" customHeight="1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ht="16.5" customHeight="1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ht="16.5" customHeight="1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ht="16.5" customHeight="1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ht="16.5" customHeight="1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ht="16.5" customHeight="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ht="16.5" customHeight="1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ht="16.5" customHeight="1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ht="16.5" customHeight="1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ht="16.5" customHeight="1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ht="16.5" customHeight="1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ht="16.5" customHeight="1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ht="16.5" customHeight="1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ht="16.5" customHeight="1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ht="16.5" customHeight="1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ht="16.5" customHeight="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ht="16.5" customHeight="1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ht="16.5" customHeight="1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ht="16.5" customHeight="1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ht="16.5" customHeight="1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ht="16.5" customHeight="1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ht="16.5" customHeight="1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ht="16.5" customHeight="1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ht="16.5" customHeight="1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ht="16.5" customHeight="1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ht="16.5" customHeight="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ht="16.5" customHeight="1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ht="16.5" customHeight="1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ht="16.5" customHeight="1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ht="16.5" customHeight="1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ht="16.5" customHeight="1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ht="16.5" customHeight="1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ht="16.5" customHeight="1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ht="16.5" customHeight="1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ht="16.5" customHeight="1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ht="16.5" customHeight="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ht="16.5" customHeight="1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ht="16.5" customHeight="1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ht="16.5" customHeight="1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ht="16.5" customHeight="1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ht="16.5" customHeight="1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ht="16.5" customHeight="1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ht="16.5" customHeight="1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ht="16.5" customHeight="1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ht="16.5" customHeight="1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ht="16.5" customHeight="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ht="16.5" customHeight="1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ht="16.5" customHeight="1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ht="16.5" customHeight="1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ht="16.5" customHeight="1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ht="16.5" customHeight="1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ht="16.5" customHeight="1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ht="16.5" customHeight="1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ht="16.5" customHeight="1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ht="16.5" customHeight="1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ht="16.5" customHeight="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ht="16.5" customHeight="1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ht="16.5" customHeight="1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ht="16.5" customHeight="1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ht="16.5" customHeight="1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ht="16.5" customHeight="1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ht="16.5" customHeight="1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ht="16.5" customHeight="1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ht="16.5" customHeight="1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ht="16.5" customHeight="1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ht="16.5" customHeight="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ht="16.5" customHeight="1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ht="16.5" customHeight="1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ht="16.5" customHeight="1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ht="16.5" customHeight="1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ht="16.5" customHeight="1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ht="16.5" customHeight="1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ht="16.5" customHeight="1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ht="16.5" customHeight="1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ht="16.5" customHeight="1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ht="16.5" customHeight="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ht="16.5" customHeight="1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ht="16.5" customHeight="1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ht="16.5" customHeight="1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ht="16.5" customHeight="1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ht="16.5" customHeight="1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ht="16.5" customHeight="1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ht="16.5" customHeight="1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ht="16.5" customHeight="1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ht="16.5" customHeight="1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ht="16.5" customHeight="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ht="16.5" customHeight="1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ht="16.5" customHeight="1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ht="16.5" customHeight="1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ht="16.5" customHeight="1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ht="16.5" customHeight="1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ht="16.5" customHeight="1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ht="16.5" customHeight="1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ht="16.5" customHeight="1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ht="16.5" customHeight="1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ht="16.5" customHeight="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ht="16.5" customHeight="1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ht="16.5" customHeight="1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ht="16.5" customHeight="1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ht="16.5" customHeight="1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ht="16.5" customHeight="1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ht="16.5" customHeight="1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ht="16.5" customHeight="1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ht="16.5" customHeight="1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ht="16.5" customHeight="1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ht="16.5" customHeight="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ht="16.5" customHeight="1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ht="16.5" customHeight="1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ht="16.5" customHeight="1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ht="16.5" customHeight="1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ht="16.5" customHeight="1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ht="16.5" customHeight="1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ht="16.5" customHeight="1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ht="16.5" customHeight="1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ht="16.5" customHeight="1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ht="16.5" customHeight="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ht="16.5" customHeight="1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ht="16.5" customHeight="1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ht="16.5" customHeight="1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ht="16.5" customHeight="1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ht="16.5" customHeight="1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ht="16.5" customHeight="1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ht="16.5" customHeight="1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ht="16.5" customHeight="1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ht="16.5" customHeight="1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ht="16.5" customHeight="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ht="16.5" customHeight="1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ht="16.5" customHeight="1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ht="16.5" customHeight="1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ht="16.5" customHeight="1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ht="16.5" customHeight="1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ht="16.5" customHeight="1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ht="16.5" customHeight="1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ht="16.5" customHeight="1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ht="16.5" customHeight="1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ht="16.5" customHeight="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ht="16.5" customHeight="1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ht="16.5" customHeight="1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ht="16.5" customHeight="1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ht="16.5" customHeight="1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ht="16.5" customHeight="1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ht="16.5" customHeight="1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ht="16.5" customHeight="1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ht="16.5" customHeight="1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ht="16.5" customHeight="1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autoFilter ref="$A$2:$E$24">
    <sortState ref="A2:E24">
      <sortCondition ref="B2:B24"/>
    </sortState>
  </autoFilter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4.0"/>
    <col customWidth="1" min="2" max="4" width="10.78"/>
    <col customWidth="1" min="5" max="5" width="16.33"/>
    <col customWidth="1" min="6" max="6" width="10.78"/>
    <col customWidth="1" min="7" max="7" width="11.11"/>
    <col customWidth="1" min="8" max="8" width="19.0"/>
    <col customWidth="1" min="9" max="9" width="10.78"/>
    <col customWidth="1" min="10" max="10" width="26.33"/>
    <col customWidth="1" min="11" max="11" width="46.0"/>
    <col customWidth="1" min="12" max="12" width="10.78"/>
    <col customWidth="1" min="13" max="26" width="10.56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3" t="s">
        <v>1</v>
      </c>
      <c r="C4" s="4"/>
      <c r="D4" s="4"/>
      <c r="E4" s="4"/>
      <c r="F4" s="5"/>
      <c r="G4" s="6" t="s">
        <v>2</v>
      </c>
      <c r="H4" s="6" t="s">
        <v>3</v>
      </c>
      <c r="I4" s="6" t="s">
        <v>84</v>
      </c>
      <c r="J4" s="6" t="s">
        <v>4</v>
      </c>
      <c r="K4" s="6" t="s">
        <v>5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9"/>
      <c r="H5" s="9"/>
      <c r="I5" s="9"/>
      <c r="J5" s="9"/>
      <c r="K5" s="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1" t="s">
        <v>11</v>
      </c>
      <c r="C6" s="11" t="s">
        <v>12</v>
      </c>
      <c r="D6" s="11" t="s">
        <v>13</v>
      </c>
      <c r="E6" s="37" t="s">
        <v>13</v>
      </c>
      <c r="F6" s="47" t="s">
        <v>14</v>
      </c>
      <c r="G6" s="36">
        <v>800000.0</v>
      </c>
      <c r="H6" s="36">
        <v>0.0</v>
      </c>
      <c r="I6" s="36">
        <v>0.0</v>
      </c>
      <c r="J6" s="36">
        <f t="shared" ref="J6:J14" si="1">G6-SUM(H6:I6)</f>
        <v>800000</v>
      </c>
      <c r="K6" s="12" t="s">
        <v>15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11" t="s">
        <v>11</v>
      </c>
      <c r="C7" s="11" t="s">
        <v>12</v>
      </c>
      <c r="D7" s="11" t="s">
        <v>16</v>
      </c>
      <c r="E7" s="11" t="s">
        <v>17</v>
      </c>
      <c r="F7" s="12" t="s">
        <v>14</v>
      </c>
      <c r="G7" s="13">
        <v>180000.0</v>
      </c>
      <c r="H7" s="13">
        <v>71800.0</v>
      </c>
      <c r="I7" s="13">
        <v>0.0</v>
      </c>
      <c r="J7" s="13">
        <f t="shared" si="1"/>
        <v>108200</v>
      </c>
      <c r="K7" s="12" t="s">
        <v>18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11" t="s">
        <v>11</v>
      </c>
      <c r="C8" s="11" t="s">
        <v>19</v>
      </c>
      <c r="D8" s="11" t="s">
        <v>20</v>
      </c>
      <c r="E8" s="11" t="s">
        <v>20</v>
      </c>
      <c r="F8" s="12" t="s">
        <v>14</v>
      </c>
      <c r="G8" s="13">
        <v>220000.0</v>
      </c>
      <c r="H8" s="13">
        <v>0.0</v>
      </c>
      <c r="I8" s="13">
        <v>0.0</v>
      </c>
      <c r="J8" s="13">
        <f t="shared" si="1"/>
        <v>220000</v>
      </c>
      <c r="K8" s="12" t="s">
        <v>18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11" t="s">
        <v>11</v>
      </c>
      <c r="C9" s="11" t="s">
        <v>19</v>
      </c>
      <c r="D9" s="11" t="s">
        <v>21</v>
      </c>
      <c r="E9" s="37" t="s">
        <v>21</v>
      </c>
      <c r="F9" s="47" t="s">
        <v>14</v>
      </c>
      <c r="G9" s="36">
        <v>200000.0</v>
      </c>
      <c r="H9" s="36">
        <v>0.0</v>
      </c>
      <c r="I9" s="36">
        <v>0.0</v>
      </c>
      <c r="J9" s="36">
        <f t="shared" si="1"/>
        <v>200000</v>
      </c>
      <c r="K9" s="12" t="s">
        <v>22</v>
      </c>
      <c r="L9" s="1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11" t="s">
        <v>23</v>
      </c>
      <c r="C10" s="11" t="s">
        <v>24</v>
      </c>
      <c r="D10" s="11" t="s">
        <v>25</v>
      </c>
      <c r="E10" s="11" t="s">
        <v>26</v>
      </c>
      <c r="F10" s="12" t="s">
        <v>14</v>
      </c>
      <c r="G10" s="13">
        <v>3600000.0</v>
      </c>
      <c r="H10" s="13">
        <v>3600000.0</v>
      </c>
      <c r="I10" s="13">
        <f t="shared" ref="I10:I11" si="2">G10-H10</f>
        <v>0</v>
      </c>
      <c r="J10" s="13">
        <f t="shared" si="1"/>
        <v>0</v>
      </c>
      <c r="K10" s="11" t="s">
        <v>27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5" t="s">
        <v>11</v>
      </c>
      <c r="C11" s="15" t="s">
        <v>12</v>
      </c>
      <c r="D11" s="15" t="s">
        <v>16</v>
      </c>
      <c r="E11" s="16" t="s">
        <v>28</v>
      </c>
      <c r="F11" s="11" t="s">
        <v>29</v>
      </c>
      <c r="G11" s="13">
        <v>1500000.0</v>
      </c>
      <c r="H11" s="13">
        <v>600000.0</v>
      </c>
      <c r="I11" s="13">
        <f t="shared" si="2"/>
        <v>900000</v>
      </c>
      <c r="J11" s="13">
        <f t="shared" si="1"/>
        <v>0</v>
      </c>
      <c r="K11" s="11" t="s">
        <v>30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7"/>
      <c r="C12" s="17"/>
      <c r="D12" s="17"/>
      <c r="E12" s="17"/>
      <c r="F12" s="11" t="s">
        <v>17</v>
      </c>
      <c r="G12" s="13">
        <v>2040000.0</v>
      </c>
      <c r="H12" s="13">
        <v>409700.0</v>
      </c>
      <c r="I12" s="13">
        <v>0.0</v>
      </c>
      <c r="J12" s="13">
        <f t="shared" si="1"/>
        <v>1630300</v>
      </c>
      <c r="K12" s="11" t="s">
        <v>18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7"/>
      <c r="C13" s="17"/>
      <c r="D13" s="17"/>
      <c r="E13" s="17"/>
      <c r="F13" s="11" t="s">
        <v>31</v>
      </c>
      <c r="G13" s="13">
        <v>4000000.0</v>
      </c>
      <c r="H13" s="13">
        <v>0.0</v>
      </c>
      <c r="I13" s="13">
        <f>G13-H13</f>
        <v>4000000</v>
      </c>
      <c r="J13" s="13">
        <f t="shared" si="1"/>
        <v>0</v>
      </c>
      <c r="K13" s="11" t="s">
        <v>32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9"/>
      <c r="C14" s="9"/>
      <c r="D14" s="9"/>
      <c r="E14" s="9"/>
      <c r="F14" s="11" t="s">
        <v>33</v>
      </c>
      <c r="G14" s="13">
        <v>3700000.0</v>
      </c>
      <c r="H14" s="13">
        <v>0.0</v>
      </c>
      <c r="I14" s="13">
        <f>SUM(G31)</f>
        <v>330000</v>
      </c>
      <c r="J14" s="13">
        <f t="shared" si="1"/>
        <v>3370000</v>
      </c>
      <c r="K14" s="11" t="s">
        <v>18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8" t="s">
        <v>34</v>
      </c>
      <c r="C15" s="4"/>
      <c r="D15" s="4"/>
      <c r="E15" s="4"/>
      <c r="F15" s="5"/>
      <c r="G15" s="19">
        <f t="shared" ref="G15:J15" si="3">SUM(G6:G14)</f>
        <v>16240000</v>
      </c>
      <c r="H15" s="19">
        <f t="shared" si="3"/>
        <v>4681500</v>
      </c>
      <c r="I15" s="19">
        <f t="shared" si="3"/>
        <v>5230000</v>
      </c>
      <c r="J15" s="19">
        <f t="shared" si="3"/>
        <v>6328500</v>
      </c>
      <c r="K15" s="12" t="s">
        <v>14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hidden="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2" t="s">
        <v>85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8" t="s">
        <v>10</v>
      </c>
      <c r="C21" s="3" t="s">
        <v>37</v>
      </c>
      <c r="D21" s="5"/>
      <c r="E21" s="8" t="s">
        <v>38</v>
      </c>
      <c r="F21" s="8" t="s">
        <v>39</v>
      </c>
      <c r="G21" s="8" t="s">
        <v>40</v>
      </c>
      <c r="H21" s="8" t="s">
        <v>41</v>
      </c>
      <c r="I21" s="8" t="s">
        <v>86</v>
      </c>
      <c r="J21" s="8" t="s">
        <v>42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24" t="s">
        <v>31</v>
      </c>
      <c r="C22" s="48" t="s">
        <v>44</v>
      </c>
      <c r="D22" s="5"/>
      <c r="E22" s="49">
        <v>0.0</v>
      </c>
      <c r="F22" s="50">
        <v>1.0</v>
      </c>
      <c r="G22" s="49">
        <f t="shared" ref="G22:G26" si="4">E22*F22</f>
        <v>0</v>
      </c>
      <c r="H22" s="50" t="s">
        <v>45</v>
      </c>
      <c r="I22" s="51" t="s">
        <v>14</v>
      </c>
      <c r="J22" s="50" t="s">
        <v>46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24" t="s">
        <v>31</v>
      </c>
      <c r="C23" s="48" t="s">
        <v>47</v>
      </c>
      <c r="D23" s="5"/>
      <c r="E23" s="49">
        <v>30000.0</v>
      </c>
      <c r="F23" s="50">
        <v>28.0</v>
      </c>
      <c r="G23" s="49">
        <f t="shared" si="4"/>
        <v>840000</v>
      </c>
      <c r="H23" s="50" t="s">
        <v>48</v>
      </c>
      <c r="I23" s="51" t="s">
        <v>14</v>
      </c>
      <c r="J23" s="50" t="s">
        <v>46</v>
      </c>
      <c r="K23" s="1" t="s">
        <v>197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31" t="s">
        <v>31</v>
      </c>
      <c r="C24" s="15" t="s">
        <v>49</v>
      </c>
      <c r="D24" s="11" t="s">
        <v>50</v>
      </c>
      <c r="E24" s="13">
        <v>899000.0</v>
      </c>
      <c r="F24" s="11">
        <v>1.0</v>
      </c>
      <c r="G24" s="13">
        <f t="shared" si="4"/>
        <v>899000</v>
      </c>
      <c r="H24" s="11" t="s">
        <v>87</v>
      </c>
      <c r="I24" s="52" t="s">
        <v>87</v>
      </c>
      <c r="J24" s="11" t="s">
        <v>198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7"/>
      <c r="C25" s="17"/>
      <c r="D25" s="11" t="s">
        <v>53</v>
      </c>
      <c r="E25" s="13">
        <v>499000.0</v>
      </c>
      <c r="F25" s="11">
        <v>2.0</v>
      </c>
      <c r="G25" s="13">
        <f t="shared" si="4"/>
        <v>998000</v>
      </c>
      <c r="H25" s="11" t="s">
        <v>88</v>
      </c>
      <c r="I25" s="52" t="s">
        <v>89</v>
      </c>
      <c r="J25" s="11" t="s">
        <v>198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9"/>
      <c r="C26" s="9"/>
      <c r="D26" s="11" t="s">
        <v>55</v>
      </c>
      <c r="E26" s="13">
        <v>269000.0</v>
      </c>
      <c r="F26" s="11">
        <v>2.0</v>
      </c>
      <c r="G26" s="13">
        <f t="shared" si="4"/>
        <v>538000</v>
      </c>
      <c r="H26" s="11" t="s">
        <v>90</v>
      </c>
      <c r="I26" s="52" t="s">
        <v>91</v>
      </c>
      <c r="J26" s="11" t="s">
        <v>198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31" t="s">
        <v>31</v>
      </c>
      <c r="C27" s="15" t="s">
        <v>57</v>
      </c>
      <c r="D27" s="11" t="s">
        <v>58</v>
      </c>
      <c r="E27" s="13">
        <v>4500.0</v>
      </c>
      <c r="F27" s="11">
        <v>25.0</v>
      </c>
      <c r="G27" s="13">
        <f>E27*F27+11000</f>
        <v>123500</v>
      </c>
      <c r="H27" s="11" t="s">
        <v>199</v>
      </c>
      <c r="I27" s="12" t="s">
        <v>14</v>
      </c>
      <c r="J27" s="11" t="s">
        <v>200</v>
      </c>
      <c r="K27" s="1" t="s">
        <v>201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9"/>
      <c r="C28" s="9"/>
      <c r="D28" s="11" t="s">
        <v>63</v>
      </c>
      <c r="E28" s="13">
        <v>20500.0</v>
      </c>
      <c r="F28" s="11">
        <v>3.0</v>
      </c>
      <c r="G28" s="13">
        <f t="shared" ref="G28:G29" si="5">E28*F28</f>
        <v>61500</v>
      </c>
      <c r="H28" s="11" t="s">
        <v>202</v>
      </c>
      <c r="I28" s="52"/>
      <c r="J28" s="11" t="s">
        <v>198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24" t="s">
        <v>31</v>
      </c>
      <c r="C29" s="21" t="s">
        <v>65</v>
      </c>
      <c r="D29" s="5"/>
      <c r="E29" s="13">
        <v>7740.0</v>
      </c>
      <c r="F29" s="11">
        <v>25.0</v>
      </c>
      <c r="G29" s="13">
        <f t="shared" si="5"/>
        <v>193500</v>
      </c>
      <c r="H29" s="11" t="s">
        <v>95</v>
      </c>
      <c r="I29" s="52"/>
      <c r="J29" s="11" t="s">
        <v>198</v>
      </c>
      <c r="K29" s="2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24" t="s">
        <v>31</v>
      </c>
      <c r="C30" s="21" t="s">
        <v>67</v>
      </c>
      <c r="D30" s="5"/>
      <c r="E30" s="13">
        <v>30000.0</v>
      </c>
      <c r="F30" s="11">
        <v>8.0</v>
      </c>
      <c r="G30" s="13">
        <f>E30*F30+80000</f>
        <v>320000</v>
      </c>
      <c r="H30" s="11" t="s">
        <v>68</v>
      </c>
      <c r="I30" s="52" t="s">
        <v>67</v>
      </c>
      <c r="J30" s="11" t="s">
        <v>203</v>
      </c>
      <c r="K30" s="1" t="s">
        <v>204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34" t="s">
        <v>33</v>
      </c>
      <c r="C31" s="21" t="s">
        <v>98</v>
      </c>
      <c r="D31" s="5"/>
      <c r="E31" s="13">
        <v>22000.0</v>
      </c>
      <c r="F31" s="11">
        <v>15.0</v>
      </c>
      <c r="G31" s="13">
        <f>E31*F31</f>
        <v>330000</v>
      </c>
      <c r="H31" s="11" t="s">
        <v>205</v>
      </c>
      <c r="I31" s="52" t="s">
        <v>100</v>
      </c>
      <c r="J31" s="11" t="s">
        <v>78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35" t="s">
        <v>82</v>
      </c>
      <c r="C32" s="4"/>
      <c r="D32" s="4"/>
      <c r="E32" s="4"/>
      <c r="F32" s="5"/>
      <c r="G32" s="36">
        <f>SUM(G22:G30)</f>
        <v>3973500</v>
      </c>
      <c r="H32" s="37" t="s">
        <v>4</v>
      </c>
      <c r="I32" s="36">
        <f>G13-G32</f>
        <v>26500</v>
      </c>
      <c r="J32" s="12" t="s">
        <v>14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27" t="s">
        <v>101</v>
      </c>
      <c r="H33" s="28"/>
      <c r="I33" s="53" t="s">
        <v>102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30">
        <v>1.0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>
        <v>2.0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3">
    <mergeCell ref="E11:E14"/>
    <mergeCell ref="B15:F15"/>
    <mergeCell ref="B4:F4"/>
    <mergeCell ref="G4:G5"/>
    <mergeCell ref="H4:H5"/>
    <mergeCell ref="I4:I5"/>
    <mergeCell ref="J4:J5"/>
    <mergeCell ref="K4:K5"/>
    <mergeCell ref="B11:B14"/>
    <mergeCell ref="B27:B28"/>
    <mergeCell ref="C27:C28"/>
    <mergeCell ref="C29:D29"/>
    <mergeCell ref="C30:D30"/>
    <mergeCell ref="C31:D31"/>
    <mergeCell ref="B32:F32"/>
    <mergeCell ref="G33:H33"/>
    <mergeCell ref="C11:C14"/>
    <mergeCell ref="D11:D14"/>
    <mergeCell ref="C21:D21"/>
    <mergeCell ref="C22:D22"/>
    <mergeCell ref="C23:D23"/>
    <mergeCell ref="B24:B26"/>
    <mergeCell ref="C24:C26"/>
  </mergeCells>
  <hyperlinks>
    <hyperlink r:id="rId1" ref="I24"/>
    <hyperlink r:id="rId2" ref="I25"/>
    <hyperlink r:id="rId3" ref="I26"/>
    <hyperlink r:id="rId4" ref="I30"/>
    <hyperlink r:id="rId5" ref="I31"/>
    <hyperlink r:id="rId6" ref="G38"/>
  </hyperlinks>
  <printOptions/>
  <pageMargins bottom="0.75" footer="0.0" header="0.0" left="0.7" right="0.7" top="0.75"/>
  <pageSetup orientation="landscape"/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4.0"/>
    <col customWidth="1" min="2" max="4" width="10.78"/>
    <col customWidth="1" min="5" max="5" width="16.33"/>
    <col customWidth="1" min="6" max="6" width="10.78"/>
    <col customWidth="1" min="7" max="7" width="11.11"/>
    <col customWidth="1" min="8" max="8" width="19.0"/>
    <col customWidth="1" min="9" max="9" width="10.78"/>
    <col customWidth="1" min="10" max="10" width="12.67"/>
    <col customWidth="1" min="11" max="11" width="46.0"/>
    <col customWidth="1" min="12" max="26" width="10.56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3" t="s">
        <v>1</v>
      </c>
      <c r="C4" s="4"/>
      <c r="D4" s="4"/>
      <c r="E4" s="4"/>
      <c r="F4" s="5"/>
      <c r="G4" s="6" t="s">
        <v>2</v>
      </c>
      <c r="H4" s="6" t="s">
        <v>3</v>
      </c>
      <c r="I4" s="6" t="s">
        <v>84</v>
      </c>
      <c r="J4" s="6" t="s">
        <v>4</v>
      </c>
      <c r="K4" s="6" t="s">
        <v>5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9"/>
      <c r="H5" s="9"/>
      <c r="I5" s="9"/>
      <c r="J5" s="9"/>
      <c r="K5" s="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1" t="s">
        <v>11</v>
      </c>
      <c r="C6" s="11" t="s">
        <v>12</v>
      </c>
      <c r="D6" s="11" t="s">
        <v>13</v>
      </c>
      <c r="E6" s="11" t="s">
        <v>13</v>
      </c>
      <c r="F6" s="12" t="s">
        <v>14</v>
      </c>
      <c r="G6" s="13">
        <v>800000.0</v>
      </c>
      <c r="H6" s="13">
        <v>0.0</v>
      </c>
      <c r="I6" s="13">
        <v>0.0</v>
      </c>
      <c r="J6" s="13">
        <f t="shared" ref="J6:J13" si="1">G6-H6</f>
        <v>800000</v>
      </c>
      <c r="K6" s="12" t="s">
        <v>18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11" t="s">
        <v>11</v>
      </c>
      <c r="C7" s="11" t="s">
        <v>12</v>
      </c>
      <c r="D7" s="11" t="s">
        <v>16</v>
      </c>
      <c r="E7" s="11" t="s">
        <v>17</v>
      </c>
      <c r="F7" s="12" t="s">
        <v>14</v>
      </c>
      <c r="G7" s="13">
        <v>180000.0</v>
      </c>
      <c r="H7" s="13">
        <v>71800.0</v>
      </c>
      <c r="I7" s="13">
        <v>0.0</v>
      </c>
      <c r="J7" s="13">
        <f t="shared" si="1"/>
        <v>108200</v>
      </c>
      <c r="K7" s="12" t="s">
        <v>18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11" t="s">
        <v>11</v>
      </c>
      <c r="C8" s="11" t="s">
        <v>19</v>
      </c>
      <c r="D8" s="11" t="s">
        <v>20</v>
      </c>
      <c r="E8" s="11" t="s">
        <v>20</v>
      </c>
      <c r="F8" s="12" t="s">
        <v>14</v>
      </c>
      <c r="G8" s="13">
        <v>220000.0</v>
      </c>
      <c r="H8" s="13">
        <v>0.0</v>
      </c>
      <c r="I8" s="13">
        <v>0.0</v>
      </c>
      <c r="J8" s="13">
        <f t="shared" si="1"/>
        <v>220000</v>
      </c>
      <c r="K8" s="12" t="s">
        <v>18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11" t="s">
        <v>11</v>
      </c>
      <c r="C9" s="11" t="s">
        <v>19</v>
      </c>
      <c r="D9" s="11" t="s">
        <v>21</v>
      </c>
      <c r="E9" s="11" t="s">
        <v>21</v>
      </c>
      <c r="F9" s="12" t="s">
        <v>14</v>
      </c>
      <c r="G9" s="13">
        <v>200000.0</v>
      </c>
      <c r="H9" s="13">
        <v>0.0</v>
      </c>
      <c r="I9" s="13">
        <v>0.0</v>
      </c>
      <c r="J9" s="13">
        <f t="shared" si="1"/>
        <v>200000</v>
      </c>
      <c r="K9" s="12" t="s">
        <v>18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11" t="s">
        <v>23</v>
      </c>
      <c r="C10" s="11" t="s">
        <v>24</v>
      </c>
      <c r="D10" s="11" t="s">
        <v>25</v>
      </c>
      <c r="E10" s="11" t="s">
        <v>26</v>
      </c>
      <c r="F10" s="12" t="s">
        <v>14</v>
      </c>
      <c r="G10" s="13">
        <v>3600000.0</v>
      </c>
      <c r="H10" s="13">
        <v>2400000.0</v>
      </c>
      <c r="I10" s="13">
        <v>1200000.0</v>
      </c>
      <c r="J10" s="13">
        <f t="shared" si="1"/>
        <v>1200000</v>
      </c>
      <c r="K10" s="11" t="s">
        <v>27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5" t="s">
        <v>11</v>
      </c>
      <c r="C11" s="15" t="s">
        <v>12</v>
      </c>
      <c r="D11" s="15" t="s">
        <v>16</v>
      </c>
      <c r="E11" s="16" t="s">
        <v>28</v>
      </c>
      <c r="F11" s="11" t="s">
        <v>29</v>
      </c>
      <c r="G11" s="13">
        <v>1500000.0</v>
      </c>
      <c r="H11" s="13">
        <v>0.0</v>
      </c>
      <c r="I11" s="13">
        <v>1500000.0</v>
      </c>
      <c r="J11" s="13">
        <f t="shared" si="1"/>
        <v>1500000</v>
      </c>
      <c r="K11" s="11" t="s">
        <v>30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7"/>
      <c r="C12" s="17"/>
      <c r="D12" s="17"/>
      <c r="E12" s="17"/>
      <c r="F12" s="11" t="s">
        <v>17</v>
      </c>
      <c r="G12" s="13">
        <v>2040000.0</v>
      </c>
      <c r="H12" s="13">
        <v>242500.0</v>
      </c>
      <c r="I12" s="13">
        <v>0.0</v>
      </c>
      <c r="J12" s="13">
        <f t="shared" si="1"/>
        <v>1797500</v>
      </c>
      <c r="K12" s="11" t="s">
        <v>18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7"/>
      <c r="C13" s="17"/>
      <c r="D13" s="17"/>
      <c r="E13" s="17"/>
      <c r="F13" s="11" t="s">
        <v>31</v>
      </c>
      <c r="G13" s="13">
        <v>4000000.0</v>
      </c>
      <c r="H13" s="13">
        <v>0.0</v>
      </c>
      <c r="I13" s="13">
        <v>4000000.0</v>
      </c>
      <c r="J13" s="13">
        <f t="shared" si="1"/>
        <v>4000000</v>
      </c>
      <c r="K13" s="11" t="s">
        <v>32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9"/>
      <c r="C14" s="9"/>
      <c r="D14" s="9"/>
      <c r="E14" s="9"/>
      <c r="F14" s="11" t="s">
        <v>33</v>
      </c>
      <c r="G14" s="13">
        <v>3700000.0</v>
      </c>
      <c r="H14" s="13">
        <v>0.0</v>
      </c>
      <c r="I14" s="13">
        <v>0.0</v>
      </c>
      <c r="J14" s="13">
        <f>G14-SUM(H14:I14)</f>
        <v>3700000</v>
      </c>
      <c r="K14" s="11" t="s">
        <v>18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8" t="s">
        <v>34</v>
      </c>
      <c r="C15" s="4"/>
      <c r="D15" s="4"/>
      <c r="E15" s="4"/>
      <c r="F15" s="5"/>
      <c r="G15" s="19">
        <f t="shared" ref="G15:J15" si="2">SUM(G6:G14)</f>
        <v>16240000</v>
      </c>
      <c r="H15" s="19">
        <f t="shared" si="2"/>
        <v>2714300</v>
      </c>
      <c r="I15" s="19">
        <f t="shared" si="2"/>
        <v>6700000</v>
      </c>
      <c r="J15" s="19">
        <f t="shared" si="2"/>
        <v>13525700</v>
      </c>
      <c r="K15" s="12" t="s">
        <v>14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" t="s">
        <v>206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8" t="s">
        <v>10</v>
      </c>
      <c r="C21" s="3" t="s">
        <v>37</v>
      </c>
      <c r="D21" s="5"/>
      <c r="E21" s="8" t="s">
        <v>38</v>
      </c>
      <c r="F21" s="8" t="s">
        <v>39</v>
      </c>
      <c r="G21" s="8" t="s">
        <v>40</v>
      </c>
      <c r="H21" s="8" t="s">
        <v>41</v>
      </c>
      <c r="I21" s="8" t="s">
        <v>86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24" t="s">
        <v>31</v>
      </c>
      <c r="C22" s="21" t="s">
        <v>44</v>
      </c>
      <c r="D22" s="5"/>
      <c r="E22" s="13">
        <v>0.0</v>
      </c>
      <c r="F22" s="11">
        <v>1.0</v>
      </c>
      <c r="G22" s="13">
        <f t="shared" ref="G22:G30" si="3">E22*F22</f>
        <v>0</v>
      </c>
      <c r="H22" s="11" t="s">
        <v>45</v>
      </c>
      <c r="I22" s="12" t="s">
        <v>14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24" t="s">
        <v>31</v>
      </c>
      <c r="C23" s="21" t="s">
        <v>47</v>
      </c>
      <c r="D23" s="5"/>
      <c r="E23" s="13">
        <v>30000.0</v>
      </c>
      <c r="F23" s="11">
        <v>25.0</v>
      </c>
      <c r="G23" s="13">
        <f t="shared" si="3"/>
        <v>750000</v>
      </c>
      <c r="H23" s="11" t="s">
        <v>48</v>
      </c>
      <c r="I23" s="12" t="s">
        <v>14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24" t="s">
        <v>31</v>
      </c>
      <c r="C24" s="54" t="s">
        <v>49</v>
      </c>
      <c r="D24" s="55" t="s">
        <v>50</v>
      </c>
      <c r="E24" s="13">
        <v>899000.0</v>
      </c>
      <c r="F24" s="11">
        <v>1.0</v>
      </c>
      <c r="G24" s="13">
        <f t="shared" si="3"/>
        <v>899000</v>
      </c>
      <c r="H24" s="11" t="s">
        <v>87</v>
      </c>
      <c r="I24" s="52" t="s">
        <v>87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24" t="s">
        <v>31</v>
      </c>
      <c r="C25" s="17"/>
      <c r="D25" s="55" t="s">
        <v>53</v>
      </c>
      <c r="E25" s="13">
        <v>499000.0</v>
      </c>
      <c r="F25" s="11">
        <v>2.0</v>
      </c>
      <c r="G25" s="13">
        <f t="shared" si="3"/>
        <v>998000</v>
      </c>
      <c r="H25" s="11" t="s">
        <v>88</v>
      </c>
      <c r="I25" s="52" t="s">
        <v>89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24" t="s">
        <v>31</v>
      </c>
      <c r="C26" s="9"/>
      <c r="D26" s="55" t="s">
        <v>55</v>
      </c>
      <c r="E26" s="13">
        <v>269000.0</v>
      </c>
      <c r="F26" s="11">
        <v>3.0</v>
      </c>
      <c r="G26" s="13">
        <f t="shared" si="3"/>
        <v>807000</v>
      </c>
      <c r="H26" s="11" t="s">
        <v>90</v>
      </c>
      <c r="I26" s="52" t="s">
        <v>91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24" t="s">
        <v>31</v>
      </c>
      <c r="C27" s="56" t="s">
        <v>57</v>
      </c>
      <c r="D27" s="5"/>
      <c r="E27" s="13">
        <v>6000.0</v>
      </c>
      <c r="F27" s="11"/>
      <c r="G27" s="13">
        <f t="shared" si="3"/>
        <v>0</v>
      </c>
      <c r="H27" s="11" t="s">
        <v>207</v>
      </c>
      <c r="I27" s="5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24" t="s">
        <v>31</v>
      </c>
      <c r="C28" s="57" t="s">
        <v>65</v>
      </c>
      <c r="D28" s="5"/>
      <c r="E28" s="13">
        <v>10700.0</v>
      </c>
      <c r="F28" s="11">
        <v>50.0</v>
      </c>
      <c r="G28" s="13">
        <f t="shared" si="3"/>
        <v>535000</v>
      </c>
      <c r="H28" s="11" t="s">
        <v>208</v>
      </c>
      <c r="I28" s="52" t="s">
        <v>66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1" t="s">
        <v>33</v>
      </c>
      <c r="C29" s="56" t="s">
        <v>67</v>
      </c>
      <c r="D29" s="5"/>
      <c r="E29" s="13">
        <v>30000.0</v>
      </c>
      <c r="F29" s="11">
        <v>8.0</v>
      </c>
      <c r="G29" s="13">
        <f t="shared" si="3"/>
        <v>240000</v>
      </c>
      <c r="H29" s="11" t="s">
        <v>205</v>
      </c>
      <c r="I29" s="11"/>
      <c r="J29" s="1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1" t="s">
        <v>33</v>
      </c>
      <c r="C30" s="56" t="s">
        <v>98</v>
      </c>
      <c r="D30" s="5"/>
      <c r="E30" s="13">
        <v>30000.0</v>
      </c>
      <c r="F30" s="11">
        <v>15.0</v>
      </c>
      <c r="G30" s="13">
        <f t="shared" si="3"/>
        <v>450000</v>
      </c>
      <c r="H30" s="11"/>
      <c r="I30" s="52" t="s">
        <v>100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21" t="s">
        <v>33</v>
      </c>
      <c r="C31" s="4"/>
      <c r="D31" s="4"/>
      <c r="E31" s="4"/>
      <c r="F31" s="5"/>
      <c r="G31" s="13">
        <f>SUM(G22:G28)</f>
        <v>3989000</v>
      </c>
      <c r="H31" s="11" t="s">
        <v>4</v>
      </c>
      <c r="I31" s="13">
        <f>G13-G31</f>
        <v>11000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58"/>
      <c r="C33" s="14" t="s">
        <v>209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59"/>
      <c r="C34" s="1" t="s">
        <v>210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 t="s">
        <v>211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0">
    <mergeCell ref="E11:E14"/>
    <mergeCell ref="B15:F15"/>
    <mergeCell ref="B4:F4"/>
    <mergeCell ref="G4:G5"/>
    <mergeCell ref="H4:H5"/>
    <mergeCell ref="I4:I5"/>
    <mergeCell ref="J4:J5"/>
    <mergeCell ref="K4:K5"/>
    <mergeCell ref="B11:B14"/>
    <mergeCell ref="C28:D28"/>
    <mergeCell ref="C29:D29"/>
    <mergeCell ref="C30:D30"/>
    <mergeCell ref="B31:F31"/>
    <mergeCell ref="C11:C14"/>
    <mergeCell ref="D11:D14"/>
    <mergeCell ref="C21:D21"/>
    <mergeCell ref="C22:D22"/>
    <mergeCell ref="C23:D23"/>
    <mergeCell ref="C24:C26"/>
    <mergeCell ref="C27:D27"/>
  </mergeCells>
  <hyperlinks>
    <hyperlink r:id="rId1" ref="I24"/>
    <hyperlink r:id="rId2" ref="I25"/>
    <hyperlink r:id="rId3" ref="I26"/>
    <hyperlink r:id="rId4" ref="I28"/>
    <hyperlink r:id="rId5" ref="I30"/>
  </hyperlinks>
  <printOptions/>
  <pageMargins bottom="0.75" footer="0.0" header="0.0" left="0.7" right="0.7" top="0.75"/>
  <pageSetup orientation="landscape"/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1.22" defaultRowHeight="15.0"/>
  <cols>
    <col customWidth="1" min="1" max="1" width="4.33"/>
    <col customWidth="1" min="2" max="2" width="22.33"/>
    <col customWidth="1" min="3" max="9" width="10.78"/>
    <col customWidth="1" min="10" max="10" width="17.0"/>
    <col customWidth="1" min="11" max="11" width="18.78"/>
    <col customWidth="1" min="12" max="14" width="10.78"/>
    <col customWidth="1" min="15" max="26" width="10.56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60" t="s">
        <v>212</v>
      </c>
      <c r="C2" s="1"/>
      <c r="D2" s="1"/>
      <c r="E2" s="1"/>
      <c r="F2" s="1"/>
      <c r="G2" s="1"/>
      <c r="H2" s="1"/>
      <c r="I2" s="1"/>
      <c r="J2" s="61" t="s">
        <v>213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7.5" customHeight="1">
      <c r="A3" s="1"/>
      <c r="B3" s="1"/>
      <c r="C3" s="1"/>
      <c r="D3" s="1"/>
      <c r="E3" s="1"/>
      <c r="F3" s="1"/>
      <c r="G3" s="1"/>
      <c r="H3" s="1"/>
      <c r="I3" s="1"/>
      <c r="J3" s="6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11"/>
      <c r="C4" s="55" t="s">
        <v>132</v>
      </c>
      <c r="D4" s="55" t="s">
        <v>214</v>
      </c>
      <c r="E4" s="55" t="s">
        <v>215</v>
      </c>
      <c r="F4" s="55" t="s">
        <v>216</v>
      </c>
      <c r="G4" s="55" t="s">
        <v>217</v>
      </c>
      <c r="H4" s="55" t="s">
        <v>47</v>
      </c>
      <c r="I4" s="1"/>
      <c r="J4" s="8" t="s">
        <v>132</v>
      </c>
      <c r="K4" s="8" t="s">
        <v>214</v>
      </c>
      <c r="L4" s="8" t="s">
        <v>216</v>
      </c>
      <c r="M4" s="8" t="s">
        <v>217</v>
      </c>
      <c r="N4" s="8" t="s">
        <v>47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15" t="s">
        <v>218</v>
      </c>
      <c r="C5" s="63" t="s">
        <v>137</v>
      </c>
      <c r="D5" s="63" t="s">
        <v>138</v>
      </c>
      <c r="E5" s="11" t="s">
        <v>219</v>
      </c>
      <c r="F5" s="64" t="s">
        <v>14</v>
      </c>
      <c r="G5" s="11" t="s">
        <v>220</v>
      </c>
      <c r="H5" s="11" t="s">
        <v>220</v>
      </c>
      <c r="I5" s="1"/>
      <c r="J5" s="11" t="s">
        <v>156</v>
      </c>
      <c r="K5" s="11" t="s">
        <v>221</v>
      </c>
      <c r="L5" s="11" t="s">
        <v>222</v>
      </c>
      <c r="M5" s="11"/>
      <c r="N5" s="1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7"/>
      <c r="C6" s="63" t="s">
        <v>141</v>
      </c>
      <c r="D6" s="63" t="s">
        <v>142</v>
      </c>
      <c r="E6" s="11" t="s">
        <v>219</v>
      </c>
      <c r="F6" s="64" t="s">
        <v>14</v>
      </c>
      <c r="G6" s="11" t="s">
        <v>220</v>
      </c>
      <c r="H6" s="11" t="s">
        <v>219</v>
      </c>
      <c r="I6" s="1"/>
      <c r="J6" s="11" t="s">
        <v>223</v>
      </c>
      <c r="K6" s="63" t="s">
        <v>180</v>
      </c>
      <c r="L6" s="11" t="s">
        <v>222</v>
      </c>
      <c r="M6" s="11"/>
      <c r="N6" s="1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17"/>
      <c r="C7" s="63" t="s">
        <v>145</v>
      </c>
      <c r="D7" s="63" t="s">
        <v>146</v>
      </c>
      <c r="E7" s="11" t="s">
        <v>219</v>
      </c>
      <c r="F7" s="64" t="s">
        <v>14</v>
      </c>
      <c r="G7" s="11" t="s">
        <v>220</v>
      </c>
      <c r="H7" s="11" t="s">
        <v>219</v>
      </c>
      <c r="I7" s="1"/>
      <c r="J7" s="11" t="s">
        <v>224</v>
      </c>
      <c r="K7" s="63" t="s">
        <v>149</v>
      </c>
      <c r="L7" s="11" t="s">
        <v>163</v>
      </c>
      <c r="M7" s="11"/>
      <c r="N7" s="1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17"/>
      <c r="C8" s="63" t="s">
        <v>148</v>
      </c>
      <c r="D8" s="63" t="s">
        <v>149</v>
      </c>
      <c r="E8" s="11" t="s">
        <v>219</v>
      </c>
      <c r="F8" s="64" t="s">
        <v>14</v>
      </c>
      <c r="G8" s="11" t="s">
        <v>220</v>
      </c>
      <c r="H8" s="11" t="s">
        <v>220</v>
      </c>
      <c r="I8" s="1"/>
      <c r="J8" s="11" t="s">
        <v>225</v>
      </c>
      <c r="K8" s="63" t="s">
        <v>152</v>
      </c>
      <c r="L8" s="11" t="s">
        <v>174</v>
      </c>
      <c r="M8" s="11"/>
      <c r="N8" s="1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17"/>
      <c r="C9" s="63" t="s">
        <v>226</v>
      </c>
      <c r="D9" s="63" t="s">
        <v>227</v>
      </c>
      <c r="E9" s="11" t="s">
        <v>219</v>
      </c>
      <c r="F9" s="64" t="s">
        <v>14</v>
      </c>
      <c r="G9" s="11" t="s">
        <v>220</v>
      </c>
      <c r="H9" s="11" t="s">
        <v>220</v>
      </c>
      <c r="I9" s="1"/>
      <c r="J9" s="11" t="s">
        <v>228</v>
      </c>
      <c r="K9" s="63" t="s">
        <v>152</v>
      </c>
      <c r="L9" s="11" t="s">
        <v>174</v>
      </c>
      <c r="M9" s="11"/>
      <c r="N9" s="1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17"/>
      <c r="C10" s="63" t="s">
        <v>151</v>
      </c>
      <c r="D10" s="63" t="s">
        <v>152</v>
      </c>
      <c r="E10" s="11" t="s">
        <v>219</v>
      </c>
      <c r="F10" s="64" t="s">
        <v>14</v>
      </c>
      <c r="G10" s="11" t="s">
        <v>220</v>
      </c>
      <c r="H10" s="11" t="s">
        <v>220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7"/>
      <c r="C11" s="63" t="s">
        <v>154</v>
      </c>
      <c r="D11" s="63" t="s">
        <v>138</v>
      </c>
      <c r="E11" s="11" t="s">
        <v>220</v>
      </c>
      <c r="F11" s="63" t="s">
        <v>229</v>
      </c>
      <c r="G11" s="11" t="s">
        <v>220</v>
      </c>
      <c r="H11" s="11" t="s">
        <v>220</v>
      </c>
      <c r="I11" s="1"/>
      <c r="J11" s="1"/>
      <c r="K11" s="6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7"/>
      <c r="C12" s="63" t="s">
        <v>159</v>
      </c>
      <c r="D12" s="63" t="s">
        <v>160</v>
      </c>
      <c r="E12" s="11" t="s">
        <v>219</v>
      </c>
      <c r="F12" s="64" t="s">
        <v>14</v>
      </c>
      <c r="G12" s="11" t="s">
        <v>220</v>
      </c>
      <c r="H12" s="11" t="s">
        <v>220</v>
      </c>
      <c r="I12" s="1"/>
      <c r="J12" s="60" t="s">
        <v>230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7"/>
      <c r="C13" s="63" t="s">
        <v>165</v>
      </c>
      <c r="D13" s="63" t="s">
        <v>166</v>
      </c>
      <c r="E13" s="11" t="s">
        <v>220</v>
      </c>
      <c r="F13" s="63" t="s">
        <v>231</v>
      </c>
      <c r="G13" s="11" t="s">
        <v>220</v>
      </c>
      <c r="H13" s="11" t="s">
        <v>220</v>
      </c>
      <c r="I13" s="1"/>
      <c r="J13" s="55" t="s">
        <v>232</v>
      </c>
      <c r="K13" s="55" t="s">
        <v>233</v>
      </c>
      <c r="L13" s="55" t="s">
        <v>38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17"/>
      <c r="C14" s="63" t="s">
        <v>168</v>
      </c>
      <c r="D14" s="63" t="s">
        <v>169</v>
      </c>
      <c r="E14" s="11" t="s">
        <v>219</v>
      </c>
      <c r="F14" s="64" t="s">
        <v>14</v>
      </c>
      <c r="G14" s="11" t="s">
        <v>220</v>
      </c>
      <c r="H14" s="11" t="s">
        <v>220</v>
      </c>
      <c r="I14" s="1"/>
      <c r="J14" s="11" t="s">
        <v>234</v>
      </c>
      <c r="K14" s="11" t="s">
        <v>235</v>
      </c>
      <c r="L14" s="12" t="s">
        <v>14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7"/>
      <c r="C15" s="63" t="s">
        <v>171</v>
      </c>
      <c r="D15" s="63" t="s">
        <v>172</v>
      </c>
      <c r="E15" s="11" t="s">
        <v>219</v>
      </c>
      <c r="F15" s="64" t="s">
        <v>14</v>
      </c>
      <c r="G15" s="11" t="s">
        <v>220</v>
      </c>
      <c r="H15" s="11" t="s">
        <v>219</v>
      </c>
      <c r="I15" s="1"/>
      <c r="J15" s="11" t="s">
        <v>236</v>
      </c>
      <c r="K15" s="11" t="s">
        <v>237</v>
      </c>
      <c r="L15" s="12" t="s">
        <v>14</v>
      </c>
      <c r="M15" s="14" t="s">
        <v>238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7"/>
      <c r="C16" s="63" t="s">
        <v>179</v>
      </c>
      <c r="D16" s="63" t="s">
        <v>180</v>
      </c>
      <c r="E16" s="11" t="s">
        <v>220</v>
      </c>
      <c r="F16" s="63" t="s">
        <v>222</v>
      </c>
      <c r="G16" s="11" t="s">
        <v>220</v>
      </c>
      <c r="H16" s="11" t="s">
        <v>220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7"/>
      <c r="C17" s="63" t="s">
        <v>182</v>
      </c>
      <c r="D17" s="63" t="s">
        <v>152</v>
      </c>
      <c r="E17" s="11" t="s">
        <v>220</v>
      </c>
      <c r="F17" s="63" t="s">
        <v>239</v>
      </c>
      <c r="G17" s="11" t="s">
        <v>220</v>
      </c>
      <c r="H17" s="11" t="s">
        <v>220</v>
      </c>
      <c r="I17" s="1"/>
      <c r="J17" s="1"/>
      <c r="K17" s="65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7"/>
      <c r="C18" s="11" t="s">
        <v>240</v>
      </c>
      <c r="D18" s="11" t="s">
        <v>152</v>
      </c>
      <c r="E18" s="11" t="s">
        <v>220</v>
      </c>
      <c r="F18" s="11" t="s">
        <v>241</v>
      </c>
      <c r="G18" s="11" t="s">
        <v>220</v>
      </c>
      <c r="H18" s="11" t="s">
        <v>220</v>
      </c>
      <c r="I18" s="1"/>
      <c r="J18" s="1"/>
      <c r="K18" s="65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7"/>
      <c r="C19" s="63" t="s">
        <v>184</v>
      </c>
      <c r="D19" s="63" t="s">
        <v>185</v>
      </c>
      <c r="E19" s="11" t="s">
        <v>220</v>
      </c>
      <c r="F19" s="63" t="s">
        <v>242</v>
      </c>
      <c r="G19" s="11" t="s">
        <v>220</v>
      </c>
      <c r="H19" s="11" t="s">
        <v>220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7"/>
      <c r="C20" s="63" t="s">
        <v>187</v>
      </c>
      <c r="D20" s="63" t="s">
        <v>152</v>
      </c>
      <c r="E20" s="11" t="s">
        <v>220</v>
      </c>
      <c r="F20" s="63" t="s">
        <v>176</v>
      </c>
      <c r="G20" s="11" t="s">
        <v>220</v>
      </c>
      <c r="H20" s="11" t="s">
        <v>220</v>
      </c>
      <c r="I20" s="1"/>
      <c r="J20" s="1"/>
      <c r="K20" s="65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7"/>
      <c r="C21" s="63" t="s">
        <v>189</v>
      </c>
      <c r="D21" s="63" t="s">
        <v>166</v>
      </c>
      <c r="E21" s="11" t="s">
        <v>220</v>
      </c>
      <c r="F21" s="63" t="s">
        <v>171</v>
      </c>
      <c r="G21" s="11" t="s">
        <v>220</v>
      </c>
      <c r="H21" s="11" t="s">
        <v>220</v>
      </c>
      <c r="I21" s="1"/>
      <c r="J21" s="1"/>
      <c r="K21" s="65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7"/>
      <c r="C22" s="63" t="s">
        <v>191</v>
      </c>
      <c r="D22" s="11" t="s">
        <v>166</v>
      </c>
      <c r="E22" s="11" t="s">
        <v>220</v>
      </c>
      <c r="F22" s="11" t="s">
        <v>176</v>
      </c>
      <c r="G22" s="11" t="s">
        <v>220</v>
      </c>
      <c r="H22" s="11" t="s">
        <v>220</v>
      </c>
      <c r="I22" s="1"/>
      <c r="J22" s="1"/>
      <c r="K22" s="6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7"/>
      <c r="C23" s="63" t="s">
        <v>193</v>
      </c>
      <c r="D23" s="63" t="s">
        <v>180</v>
      </c>
      <c r="E23" s="11" t="s">
        <v>219</v>
      </c>
      <c r="F23" s="64" t="s">
        <v>14</v>
      </c>
      <c r="G23" s="11" t="s">
        <v>220</v>
      </c>
      <c r="H23" s="11" t="s">
        <v>220</v>
      </c>
      <c r="I23" s="1"/>
      <c r="J23" s="1"/>
      <c r="K23" s="65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9"/>
      <c r="C24" s="63" t="s">
        <v>195</v>
      </c>
      <c r="D24" s="63" t="s">
        <v>180</v>
      </c>
      <c r="E24" s="11" t="s">
        <v>219</v>
      </c>
      <c r="F24" s="64" t="s">
        <v>14</v>
      </c>
      <c r="G24" s="11" t="s">
        <v>220</v>
      </c>
      <c r="H24" s="11" t="s">
        <v>220</v>
      </c>
      <c r="I24" s="1"/>
      <c r="J24" s="1"/>
      <c r="K24" s="6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5" t="s">
        <v>243</v>
      </c>
      <c r="C25" s="63" t="s">
        <v>244</v>
      </c>
      <c r="D25" s="63" t="s">
        <v>166</v>
      </c>
      <c r="E25" s="64" t="s">
        <v>14</v>
      </c>
      <c r="F25" s="64" t="s">
        <v>14</v>
      </c>
      <c r="G25" s="11" t="s">
        <v>220</v>
      </c>
      <c r="H25" s="11" t="s">
        <v>220</v>
      </c>
      <c r="I25" s="1"/>
      <c r="J25" s="1"/>
      <c r="K25" s="65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7"/>
      <c r="C26" s="63" t="s">
        <v>163</v>
      </c>
      <c r="D26" s="63" t="s">
        <v>142</v>
      </c>
      <c r="E26" s="64" t="s">
        <v>14</v>
      </c>
      <c r="F26" s="64" t="s">
        <v>14</v>
      </c>
      <c r="G26" s="11" t="s">
        <v>220</v>
      </c>
      <c r="H26" s="11" t="s">
        <v>220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7"/>
      <c r="C27" s="63" t="s">
        <v>174</v>
      </c>
      <c r="D27" s="63" t="s">
        <v>152</v>
      </c>
      <c r="E27" s="64" t="s">
        <v>14</v>
      </c>
      <c r="F27" s="64" t="s">
        <v>14</v>
      </c>
      <c r="G27" s="11" t="s">
        <v>220</v>
      </c>
      <c r="H27" s="11" t="s">
        <v>220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7"/>
      <c r="C28" s="63" t="s">
        <v>231</v>
      </c>
      <c r="D28" s="63" t="s">
        <v>245</v>
      </c>
      <c r="E28" s="64" t="s">
        <v>14</v>
      </c>
      <c r="F28" s="64" t="s">
        <v>14</v>
      </c>
      <c r="G28" s="11" t="s">
        <v>219</v>
      </c>
      <c r="H28" s="11" t="s">
        <v>219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9"/>
      <c r="C29" s="63" t="s">
        <v>176</v>
      </c>
      <c r="D29" s="63" t="s">
        <v>152</v>
      </c>
      <c r="E29" s="64" t="s">
        <v>14</v>
      </c>
      <c r="F29" s="64" t="s">
        <v>14</v>
      </c>
      <c r="G29" s="11" t="s">
        <v>220</v>
      </c>
      <c r="H29" s="11" t="s">
        <v>220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66" t="s">
        <v>246</v>
      </c>
      <c r="C30" s="63">
        <v>24.0</v>
      </c>
      <c r="D30" s="67"/>
      <c r="E30" s="4"/>
      <c r="F30" s="5"/>
      <c r="G30" s="63">
        <f t="shared" ref="G30:H30" si="1">COUNTIF(G5:G29,"o")</f>
        <v>24</v>
      </c>
      <c r="H30" s="63">
        <f t="shared" si="1"/>
        <v>21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5:B24"/>
    <mergeCell ref="B25:B29"/>
    <mergeCell ref="D30:F30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1.22" defaultRowHeight="15.0"/>
  <cols>
    <col customWidth="1" min="1" max="1" width="3.11"/>
    <col customWidth="1" min="2" max="5" width="10.78"/>
    <col customWidth="1" min="6" max="6" width="4.67"/>
    <col customWidth="1" min="7" max="7" width="16.33"/>
    <col customWidth="1" min="8" max="10" width="10.78"/>
    <col customWidth="1" min="11" max="11" width="4.67"/>
    <col customWidth="1" min="12" max="12" width="18.33"/>
    <col customWidth="1" min="13" max="16" width="10.78"/>
    <col customWidth="1" min="17" max="26" width="10.56"/>
  </cols>
  <sheetData>
    <row r="1" ht="16.5" customHeight="1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ht="16.5" customHeight="1">
      <c r="A2" s="68"/>
      <c r="B2" s="61" t="s">
        <v>247</v>
      </c>
      <c r="C2" s="69" t="s">
        <v>248</v>
      </c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ht="16.5" customHeight="1">
      <c r="A3" s="68"/>
      <c r="B3" s="68"/>
      <c r="C3" s="69" t="s">
        <v>249</v>
      </c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ht="16.5" customHeight="1">
      <c r="A4" s="68"/>
      <c r="B4" s="68"/>
      <c r="C4" s="69" t="s">
        <v>250</v>
      </c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ht="16.5" customHeight="1">
      <c r="A5" s="68"/>
      <c r="B5" s="68"/>
      <c r="C5" s="69" t="s">
        <v>251</v>
      </c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 ht="16.5" customHeight="1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ht="16.5" customHeight="1">
      <c r="A7" s="68"/>
      <c r="B7" s="70" t="s">
        <v>252</v>
      </c>
      <c r="C7" s="68"/>
      <c r="D7" s="68"/>
      <c r="E7" s="68"/>
      <c r="F7" s="68"/>
      <c r="G7" s="70" t="s">
        <v>44</v>
      </c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 ht="16.5" customHeight="1">
      <c r="A8" s="68"/>
      <c r="B8" s="71" t="s">
        <v>253</v>
      </c>
      <c r="C8" s="71" t="s">
        <v>254</v>
      </c>
      <c r="D8" s="71" t="s">
        <v>38</v>
      </c>
      <c r="E8" s="68"/>
      <c r="F8" s="68"/>
      <c r="G8" s="71" t="s">
        <v>232</v>
      </c>
      <c r="H8" s="71" t="s">
        <v>38</v>
      </c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 ht="16.5" customHeight="1">
      <c r="A9" s="68"/>
      <c r="B9" s="71" t="s">
        <v>136</v>
      </c>
      <c r="C9" s="71">
        <v>20.0</v>
      </c>
      <c r="D9" s="72">
        <v>30000.0</v>
      </c>
      <c r="E9" s="1"/>
      <c r="F9" s="68"/>
      <c r="G9" s="71" t="s">
        <v>255</v>
      </c>
      <c r="H9" s="71">
        <v>0.0</v>
      </c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 ht="16.5" customHeight="1">
      <c r="A10" s="68"/>
      <c r="B10" s="71" t="s">
        <v>243</v>
      </c>
      <c r="C10" s="71">
        <v>4.0</v>
      </c>
      <c r="D10" s="73"/>
      <c r="E10" s="1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 ht="16.5" customHeight="1">
      <c r="A11" s="68"/>
      <c r="B11" s="71" t="s">
        <v>256</v>
      </c>
      <c r="C11" s="71">
        <v>1.0</v>
      </c>
      <c r="D11" s="74"/>
      <c r="E11" s="1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 ht="16.5" customHeight="1">
      <c r="A12" s="68"/>
      <c r="B12" s="71" t="s">
        <v>257</v>
      </c>
      <c r="C12" s="71">
        <f>SUM(C9:C11)</f>
        <v>25</v>
      </c>
      <c r="D12" s="75">
        <f>D9*(C9+C10+C11)</f>
        <v>750000</v>
      </c>
      <c r="E12" s="76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 ht="16.5" customHeight="1">
      <c r="A13" s="68"/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 ht="16.5" customHeight="1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 ht="16.5" customHeight="1">
      <c r="A15" s="68"/>
      <c r="B15" s="70" t="s">
        <v>258</v>
      </c>
      <c r="C15" s="68"/>
      <c r="D15" s="68"/>
      <c r="E15" s="68"/>
      <c r="F15" s="68"/>
      <c r="G15" s="70" t="s">
        <v>259</v>
      </c>
      <c r="H15" s="68"/>
      <c r="I15" s="77" t="s">
        <v>260</v>
      </c>
      <c r="J15" s="68"/>
      <c r="K15" s="68"/>
      <c r="L15" s="70" t="s">
        <v>261</v>
      </c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 ht="16.5" customHeight="1">
      <c r="A16" s="68"/>
      <c r="B16" s="71"/>
      <c r="C16" s="71" t="s">
        <v>262</v>
      </c>
      <c r="D16" s="71" t="s">
        <v>38</v>
      </c>
      <c r="E16" s="71" t="s">
        <v>40</v>
      </c>
      <c r="F16" s="68"/>
      <c r="G16" s="71"/>
      <c r="H16" s="71" t="s">
        <v>262</v>
      </c>
      <c r="I16" s="71" t="s">
        <v>38</v>
      </c>
      <c r="J16" s="71" t="s">
        <v>40</v>
      </c>
      <c r="K16" s="68"/>
      <c r="L16" s="71"/>
      <c r="M16" s="71" t="s">
        <v>263</v>
      </c>
      <c r="N16" s="71" t="s">
        <v>262</v>
      </c>
      <c r="O16" s="71" t="s">
        <v>38</v>
      </c>
      <c r="P16" s="71" t="s">
        <v>40</v>
      </c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 ht="16.5" customHeight="1">
      <c r="A17" s="68"/>
      <c r="B17" s="71" t="s">
        <v>96</v>
      </c>
      <c r="C17" s="71">
        <v>20.0</v>
      </c>
      <c r="D17" s="71">
        <v>29800.0</v>
      </c>
      <c r="E17" s="71">
        <f>C17*D17</f>
        <v>596000</v>
      </c>
      <c r="F17" s="68"/>
      <c r="G17" s="71" t="s">
        <v>264</v>
      </c>
      <c r="H17" s="71">
        <v>1.0</v>
      </c>
      <c r="I17" s="78">
        <v>499000.0</v>
      </c>
      <c r="J17" s="71">
        <f t="shared" ref="J17:J19" si="1">I17*H17</f>
        <v>499000</v>
      </c>
      <c r="K17" s="68"/>
      <c r="L17" s="71" t="s">
        <v>265</v>
      </c>
      <c r="M17" s="79" t="s">
        <v>14</v>
      </c>
      <c r="N17" s="71">
        <v>25.0</v>
      </c>
      <c r="O17" s="71">
        <v>12000.0</v>
      </c>
      <c r="P17" s="71">
        <f>N17*O17</f>
        <v>300000</v>
      </c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 ht="16.5" customHeight="1">
      <c r="A18" s="68"/>
      <c r="B18" s="80" t="s">
        <v>266</v>
      </c>
      <c r="C18" s="71"/>
      <c r="D18" s="71"/>
      <c r="E18" s="71"/>
      <c r="F18" s="68"/>
      <c r="G18" s="71" t="s">
        <v>267</v>
      </c>
      <c r="H18" s="71">
        <v>2.0</v>
      </c>
      <c r="I18" s="71">
        <v>350000.0</v>
      </c>
      <c r="J18" s="71">
        <f t="shared" si="1"/>
        <v>700000</v>
      </c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ht="16.5" customHeight="1">
      <c r="A19" s="68"/>
      <c r="B19" s="68"/>
      <c r="C19" s="68"/>
      <c r="D19" s="68"/>
      <c r="E19" s="68"/>
      <c r="F19" s="68"/>
      <c r="G19" s="71" t="s">
        <v>268</v>
      </c>
      <c r="H19" s="71">
        <v>2.0</v>
      </c>
      <c r="I19" s="71">
        <v>269000.0</v>
      </c>
      <c r="J19" s="71">
        <f t="shared" si="1"/>
        <v>538000</v>
      </c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 ht="16.5" customHeight="1">
      <c r="A20" s="68"/>
      <c r="B20" s="70" t="s">
        <v>110</v>
      </c>
      <c r="C20" s="68"/>
      <c r="D20" s="68"/>
      <c r="E20" s="68"/>
      <c r="F20" s="68"/>
      <c r="G20" s="68"/>
      <c r="H20" s="68"/>
      <c r="I20" s="68"/>
      <c r="J20" s="81">
        <f>SUM(J17:J19)</f>
        <v>1737000</v>
      </c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ht="16.5" customHeight="1">
      <c r="A21" s="68"/>
      <c r="B21" s="82" t="s">
        <v>269</v>
      </c>
      <c r="C21" s="82" t="s">
        <v>110</v>
      </c>
      <c r="D21" s="82" t="s">
        <v>4</v>
      </c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 ht="16.5" customHeight="1">
      <c r="A22" s="68"/>
      <c r="B22" s="83">
        <v>4000000.0</v>
      </c>
      <c r="C22" s="71">
        <f>SUM(D12,H9,E17,J17:J19,P17)</f>
        <v>3383000</v>
      </c>
      <c r="D22" s="83">
        <f>B22-C22</f>
        <v>617000</v>
      </c>
      <c r="E22" s="81"/>
      <c r="F22" s="68"/>
      <c r="G22" s="68">
        <v>30000.0</v>
      </c>
      <c r="H22" s="68">
        <v>13.0</v>
      </c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 ht="16.5" customHeight="1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 ht="16.5" customHeight="1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ht="16.5" customHeight="1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 ht="16.5" customHeight="1">
      <c r="A26" s="68"/>
      <c r="B26" s="68" t="s">
        <v>270</v>
      </c>
      <c r="C26" s="68" t="s">
        <v>271</v>
      </c>
      <c r="D26" s="68"/>
      <c r="E26" s="68"/>
      <c r="F26" s="68"/>
      <c r="G26" s="68" t="s">
        <v>87</v>
      </c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 ht="16.5" customHeight="1">
      <c r="A27" s="68"/>
      <c r="B27" s="68"/>
      <c r="C27" s="68"/>
      <c r="D27" s="68"/>
      <c r="E27" s="68"/>
      <c r="F27" s="68"/>
      <c r="G27" s="68" t="s">
        <v>89</v>
      </c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 ht="16.5" customHeight="1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 ht="16.5" customHeight="1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 ht="16.5" customHeight="1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ht="16.5" customHeight="1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 ht="16.5" customHeight="1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 ht="16.5" customHeight="1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 ht="16.5" customHeight="1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 ht="16.5" customHeight="1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 ht="16.5" customHeight="1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ht="16.5" customHeight="1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ht="16.5" customHeight="1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ht="16.5" customHeight="1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ht="16.5" customHeight="1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ht="16.5" customHeight="1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ht="16.5" customHeight="1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ht="16.5" customHeight="1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ht="16.5" customHeight="1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ht="16.5" customHeight="1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ht="16.5" customHeight="1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ht="16.5" customHeight="1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ht="16.5" customHeight="1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ht="16.5" customHeight="1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ht="16.5" customHeight="1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ht="16.5" customHeight="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ht="16.5" customHeight="1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ht="16.5" customHeight="1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ht="16.5" customHeight="1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ht="16.5" customHeight="1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ht="16.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ht="16.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ht="16.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ht="16.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ht="16.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ht="16.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ht="16.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ht="16.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ht="16.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ht="16.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ht="16.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 ht="16.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ht="16.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ht="16.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 ht="16.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 ht="16.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 ht="16.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ht="16.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 ht="16.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ht="16.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 ht="16.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 ht="16.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 ht="16.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 ht="16.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 ht="16.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 ht="16.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 ht="16.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 ht="16.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 ht="16.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 ht="16.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 ht="16.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 ht="16.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 ht="16.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 ht="16.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 ht="16.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 ht="16.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 ht="16.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 ht="16.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 ht="16.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 ht="16.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 ht="16.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 ht="16.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 ht="16.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 ht="16.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 ht="16.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 ht="16.5" customHeight="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 ht="16.5" customHeight="1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 ht="16.5" customHeight="1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 ht="16.5" customHeight="1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 ht="16.5" customHeight="1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 ht="16.5" customHeight="1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 ht="16.5" customHeight="1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 ht="16.5" customHeight="1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 ht="16.5" customHeight="1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 ht="16.5" customHeight="1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 ht="16.5" customHeight="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 ht="16.5" customHeight="1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 ht="16.5" customHeight="1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 ht="16.5" customHeight="1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 ht="16.5" customHeight="1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 ht="16.5" customHeight="1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 ht="16.5" customHeight="1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 ht="16.5" customHeight="1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 ht="16.5" customHeight="1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 ht="16.5" customHeight="1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 ht="16.5" customHeight="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 ht="16.5" customHeight="1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 ht="16.5" customHeight="1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 ht="16.5" customHeight="1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 ht="16.5" customHeight="1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 ht="16.5" customHeight="1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 ht="16.5" customHeight="1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 ht="16.5" customHeight="1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 ht="16.5" customHeight="1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 ht="16.5" customHeight="1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 ht="16.5" customHeight="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 ht="16.5" customHeight="1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 ht="16.5" customHeight="1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 ht="16.5" customHeight="1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 ht="16.5" customHeight="1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 ht="16.5" customHeight="1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 ht="16.5" customHeight="1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 ht="16.5" customHeight="1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 ht="16.5" customHeight="1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 ht="16.5" customHeight="1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 ht="16.5" customHeight="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 ht="16.5" customHeight="1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 ht="16.5" customHeight="1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 ht="16.5" customHeight="1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 ht="16.5" customHeight="1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 ht="16.5" customHeight="1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 ht="16.5" customHeight="1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 ht="16.5" customHeight="1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 ht="16.5" customHeight="1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 ht="16.5" customHeight="1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 ht="16.5" customHeight="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 ht="16.5" customHeight="1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 ht="16.5" customHeight="1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 ht="16.5" customHeight="1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 ht="16.5" customHeight="1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 ht="16.5" customHeight="1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 ht="16.5" customHeight="1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 ht="16.5" customHeight="1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 ht="16.5" customHeight="1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 ht="16.5" customHeight="1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 ht="16.5" customHeight="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 ht="16.5" customHeight="1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 ht="16.5" customHeight="1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 ht="16.5" customHeight="1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 ht="16.5" customHeight="1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 ht="16.5" customHeight="1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 ht="16.5" customHeight="1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 ht="16.5" customHeight="1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 ht="16.5" customHeight="1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 ht="16.5" customHeight="1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 ht="16.5" customHeight="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 ht="16.5" customHeight="1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 ht="16.5" customHeight="1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 ht="16.5" customHeight="1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 ht="16.5" customHeight="1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 ht="16.5" customHeight="1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 ht="16.5" customHeight="1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 ht="16.5" customHeight="1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 ht="16.5" customHeight="1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 ht="16.5" customHeight="1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 ht="16.5" customHeight="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 ht="16.5" customHeight="1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 ht="16.5" customHeight="1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 ht="16.5" customHeight="1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 ht="16.5" customHeight="1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 ht="16.5" customHeight="1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 ht="16.5" customHeight="1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 ht="16.5" customHeight="1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 ht="16.5" customHeight="1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 ht="16.5" customHeight="1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 ht="16.5" customHeight="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 ht="16.5" customHeight="1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 ht="16.5" customHeight="1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 ht="16.5" customHeight="1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 ht="16.5" customHeight="1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 ht="16.5" customHeight="1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 ht="16.5" customHeight="1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 ht="16.5" customHeight="1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 ht="16.5" customHeight="1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 ht="16.5" customHeight="1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 ht="16.5" customHeight="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 ht="16.5" customHeight="1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 ht="16.5" customHeight="1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 ht="16.5" customHeight="1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 ht="16.5" customHeight="1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 ht="16.5" customHeight="1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 ht="16.5" customHeight="1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 ht="16.5" customHeight="1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 ht="16.5" customHeight="1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 ht="16.5" customHeight="1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 ht="16.5" customHeight="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 ht="16.5" customHeight="1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 ht="16.5" customHeight="1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 ht="16.5" customHeight="1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 ht="16.5" customHeight="1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 ht="16.5" customHeight="1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 ht="16.5" customHeight="1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 ht="16.5" customHeight="1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 ht="16.5" customHeight="1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 ht="16.5" customHeight="1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 ht="16.5" customHeight="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 ht="16.5" customHeight="1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 ht="16.5" customHeight="1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 ht="16.5" customHeight="1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 ht="16.5" customHeight="1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 ht="16.5" customHeight="1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 ht="16.5" customHeight="1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 ht="16.5" customHeight="1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 ht="16.5" customHeight="1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 ht="16.5" customHeight="1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 ht="16.5" customHeight="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 ht="16.5" customHeight="1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 ht="16.5" customHeight="1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 ht="16.5" customHeight="1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 ht="16.5" customHeight="1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 ht="16.5" customHeight="1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 ht="16.5" customHeight="1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 ht="16.5" customHeight="1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 ht="16.5" customHeight="1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 ht="16.5" customHeight="1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 ht="16.5" customHeight="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 ht="16.5" customHeight="1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 ht="16.5" customHeight="1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 ht="16.5" customHeight="1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 ht="16.5" customHeight="1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 ht="16.5" customHeight="1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 ht="16.5" customHeight="1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 ht="16.5" customHeight="1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 ht="16.5" customHeight="1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 ht="16.5" customHeight="1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 ht="16.5" customHeight="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 ht="16.5" customHeight="1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 ht="16.5" customHeight="1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 ht="16.5" customHeight="1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 ht="16.5" customHeight="1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 ht="16.5" customHeight="1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 ht="16.5" customHeight="1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 ht="16.5" customHeight="1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 ht="16.5" customHeight="1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 ht="16.5" customHeight="1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 ht="16.5" customHeight="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 ht="16.5" customHeight="1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 ht="16.5" customHeight="1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 ht="16.5" customHeight="1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 ht="16.5" customHeight="1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 ht="16.5" customHeight="1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 ht="16.5" customHeight="1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 ht="16.5" customHeight="1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 ht="16.5" customHeight="1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 ht="16.5" customHeight="1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 ht="16.5" customHeight="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 ht="16.5" customHeight="1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 ht="16.5" customHeight="1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 ht="16.5" customHeight="1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 ht="16.5" customHeight="1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 ht="16.5" customHeight="1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 ht="16.5" customHeight="1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 ht="16.5" customHeight="1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 ht="16.5" customHeight="1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 ht="16.5" customHeight="1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 ht="16.5" customHeight="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 ht="16.5" customHeight="1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 ht="16.5" customHeight="1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 ht="16.5" customHeight="1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 ht="16.5" customHeight="1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 ht="16.5" customHeight="1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 ht="16.5" customHeight="1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 ht="16.5" customHeight="1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 ht="16.5" customHeight="1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 ht="16.5" customHeight="1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 ht="16.5" customHeight="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 ht="16.5" customHeight="1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 ht="16.5" customHeight="1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 ht="16.5" customHeight="1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 ht="16.5" customHeight="1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 ht="16.5" customHeight="1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 ht="16.5" customHeight="1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 ht="16.5" customHeight="1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 ht="16.5" customHeight="1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 ht="16.5" customHeight="1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 ht="16.5" customHeight="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 ht="16.5" customHeight="1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 ht="16.5" customHeight="1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 ht="16.5" customHeight="1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 ht="16.5" customHeight="1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 ht="16.5" customHeight="1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 ht="16.5" customHeight="1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 ht="16.5" customHeight="1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 ht="16.5" customHeight="1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 ht="16.5" customHeight="1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 ht="16.5" customHeight="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 ht="16.5" customHeight="1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 ht="16.5" customHeight="1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 ht="16.5" customHeight="1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 ht="16.5" customHeight="1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 ht="16.5" customHeight="1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 ht="16.5" customHeight="1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 ht="16.5" customHeight="1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 ht="16.5" customHeight="1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 ht="16.5" customHeight="1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 ht="16.5" customHeight="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 ht="16.5" customHeight="1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 ht="16.5" customHeight="1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 ht="16.5" customHeight="1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 ht="16.5" customHeight="1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 ht="16.5" customHeight="1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 ht="16.5" customHeight="1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 ht="16.5" customHeight="1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 ht="16.5" customHeight="1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 ht="16.5" customHeight="1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 ht="16.5" customHeight="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 ht="16.5" customHeight="1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 ht="16.5" customHeight="1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 ht="16.5" customHeight="1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 ht="16.5" customHeight="1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 ht="16.5" customHeight="1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 ht="16.5" customHeight="1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 ht="16.5" customHeight="1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 ht="16.5" customHeight="1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 ht="16.5" customHeight="1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 ht="16.5" customHeight="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 ht="16.5" customHeight="1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 ht="16.5" customHeight="1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 ht="16.5" customHeight="1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 ht="16.5" customHeight="1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 ht="16.5" customHeight="1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 ht="16.5" customHeight="1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 ht="16.5" customHeight="1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 ht="16.5" customHeight="1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 ht="16.5" customHeight="1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 ht="16.5" customHeight="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 ht="16.5" customHeight="1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 ht="16.5" customHeight="1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 ht="16.5" customHeight="1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 ht="16.5" customHeight="1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 ht="16.5" customHeight="1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 ht="16.5" customHeight="1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 ht="16.5" customHeight="1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 ht="16.5" customHeight="1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 ht="16.5" customHeight="1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 ht="16.5" customHeight="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 ht="16.5" customHeight="1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 ht="16.5" customHeight="1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 ht="16.5" customHeight="1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 ht="16.5" customHeight="1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 ht="16.5" customHeight="1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 ht="16.5" customHeight="1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 ht="16.5" customHeight="1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 ht="16.5" customHeight="1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 ht="16.5" customHeight="1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 ht="16.5" customHeight="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 ht="16.5" customHeight="1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 ht="16.5" customHeight="1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 ht="16.5" customHeight="1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 ht="16.5" customHeight="1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 ht="16.5" customHeight="1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 ht="16.5" customHeight="1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 ht="16.5" customHeight="1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 ht="16.5" customHeight="1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 ht="16.5" customHeight="1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 ht="16.5" customHeight="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 ht="16.5" customHeight="1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 ht="16.5" customHeight="1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 ht="16.5" customHeight="1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 ht="16.5" customHeight="1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 ht="16.5" customHeight="1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 ht="16.5" customHeight="1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 ht="16.5" customHeight="1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 ht="16.5" customHeight="1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 ht="16.5" customHeight="1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 ht="16.5" customHeight="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 ht="16.5" customHeight="1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 ht="16.5" customHeight="1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 ht="16.5" customHeight="1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 ht="16.5" customHeight="1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 ht="16.5" customHeight="1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 ht="16.5" customHeight="1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 ht="16.5" customHeight="1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 ht="16.5" customHeight="1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 ht="16.5" customHeight="1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 ht="16.5" customHeight="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 ht="16.5" customHeight="1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 ht="16.5" customHeight="1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 ht="16.5" customHeight="1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 ht="16.5" customHeight="1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 ht="16.5" customHeight="1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 ht="16.5" customHeight="1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 ht="16.5" customHeight="1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 ht="16.5" customHeight="1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 ht="16.5" customHeight="1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 ht="16.5" customHeight="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 ht="16.5" customHeight="1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 ht="16.5" customHeight="1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 ht="16.5" customHeight="1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 ht="16.5" customHeight="1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 ht="16.5" customHeight="1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 ht="16.5" customHeight="1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 ht="16.5" customHeight="1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 ht="16.5" customHeight="1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 ht="16.5" customHeight="1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 ht="16.5" customHeight="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 ht="16.5" customHeight="1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 ht="16.5" customHeight="1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 ht="16.5" customHeight="1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 ht="16.5" customHeight="1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 ht="16.5" customHeight="1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 ht="16.5" customHeight="1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 ht="16.5" customHeight="1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 ht="16.5" customHeight="1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 ht="16.5" customHeight="1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 ht="16.5" customHeight="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 ht="16.5" customHeight="1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 ht="16.5" customHeight="1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 ht="16.5" customHeight="1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 ht="16.5" customHeight="1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 ht="16.5" customHeight="1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 ht="16.5" customHeight="1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 ht="16.5" customHeight="1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 ht="16.5" customHeight="1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 ht="16.5" customHeight="1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 ht="16.5" customHeight="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 ht="16.5" customHeight="1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 ht="16.5" customHeight="1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 ht="16.5" customHeight="1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 ht="16.5" customHeight="1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 ht="16.5" customHeight="1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 ht="16.5" customHeight="1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 ht="16.5" customHeight="1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 ht="16.5" customHeight="1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 ht="16.5" customHeight="1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 ht="16.5" customHeight="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 ht="16.5" customHeight="1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 ht="16.5" customHeight="1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 ht="16.5" customHeight="1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 ht="16.5" customHeight="1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 ht="16.5" customHeight="1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 ht="16.5" customHeight="1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 ht="16.5" customHeight="1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 ht="16.5" customHeight="1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 ht="16.5" customHeight="1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 ht="16.5" customHeight="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 ht="16.5" customHeight="1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 ht="16.5" customHeight="1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 ht="16.5" customHeight="1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 ht="16.5" customHeight="1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 ht="16.5" customHeight="1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 ht="16.5" customHeight="1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 ht="16.5" customHeight="1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 ht="16.5" customHeight="1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 ht="16.5" customHeight="1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 ht="16.5" customHeight="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 ht="16.5" customHeight="1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 ht="16.5" customHeight="1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 ht="16.5" customHeight="1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 ht="16.5" customHeight="1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 ht="16.5" customHeight="1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 ht="16.5" customHeight="1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 ht="16.5" customHeight="1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 ht="16.5" customHeight="1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 ht="16.5" customHeight="1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 ht="16.5" customHeight="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 ht="16.5" customHeight="1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 ht="16.5" customHeight="1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 ht="16.5" customHeight="1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 ht="16.5" customHeight="1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 ht="16.5" customHeight="1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 ht="16.5" customHeight="1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 ht="16.5" customHeight="1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 ht="16.5" customHeight="1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 ht="16.5" customHeight="1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 ht="16.5" customHeight="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 ht="16.5" customHeight="1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 ht="16.5" customHeight="1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 ht="16.5" customHeight="1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 ht="16.5" customHeight="1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 ht="16.5" customHeight="1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 ht="16.5" customHeight="1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 ht="16.5" customHeight="1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 ht="16.5" customHeight="1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 ht="16.5" customHeight="1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 ht="16.5" customHeight="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 ht="16.5" customHeight="1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 ht="16.5" customHeight="1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 ht="16.5" customHeight="1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 ht="16.5" customHeight="1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 ht="16.5" customHeight="1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 ht="16.5" customHeight="1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 ht="16.5" customHeight="1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 ht="16.5" customHeight="1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 ht="16.5" customHeight="1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 ht="16.5" customHeight="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 ht="16.5" customHeight="1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 ht="16.5" customHeight="1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 ht="16.5" customHeight="1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 ht="16.5" customHeight="1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 ht="16.5" customHeight="1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 ht="16.5" customHeight="1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 ht="16.5" customHeight="1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 ht="16.5" customHeight="1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 ht="16.5" customHeight="1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 ht="16.5" customHeight="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 ht="16.5" customHeight="1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 ht="16.5" customHeight="1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 ht="16.5" customHeight="1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 ht="16.5" customHeight="1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 ht="16.5" customHeight="1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 ht="16.5" customHeight="1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 ht="16.5" customHeight="1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 ht="16.5" customHeight="1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 ht="16.5" customHeight="1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 ht="16.5" customHeight="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 ht="16.5" customHeight="1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 ht="16.5" customHeight="1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 ht="16.5" customHeight="1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 ht="16.5" customHeight="1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 ht="16.5" customHeight="1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 ht="16.5" customHeight="1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 ht="16.5" customHeight="1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 ht="16.5" customHeight="1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 ht="16.5" customHeight="1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 ht="16.5" customHeight="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 ht="16.5" customHeight="1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 ht="16.5" customHeight="1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 ht="16.5" customHeight="1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 ht="16.5" customHeight="1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 ht="16.5" customHeight="1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 ht="16.5" customHeight="1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 ht="16.5" customHeight="1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 ht="16.5" customHeight="1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 ht="16.5" customHeight="1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 ht="16.5" customHeight="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 ht="16.5" customHeight="1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 ht="16.5" customHeight="1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 ht="16.5" customHeight="1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 ht="16.5" customHeight="1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 ht="16.5" customHeight="1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 ht="16.5" customHeight="1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 ht="16.5" customHeight="1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 ht="16.5" customHeight="1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 ht="16.5" customHeight="1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 ht="16.5" customHeight="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 ht="16.5" customHeight="1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 ht="16.5" customHeight="1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 ht="16.5" customHeight="1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 ht="16.5" customHeight="1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 ht="16.5" customHeight="1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 ht="16.5" customHeight="1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 ht="16.5" customHeight="1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 ht="16.5" customHeight="1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 ht="16.5" customHeight="1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 ht="16.5" customHeight="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 ht="16.5" customHeight="1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 ht="16.5" customHeight="1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 ht="16.5" customHeight="1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 ht="16.5" customHeight="1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 ht="16.5" customHeight="1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 ht="16.5" customHeight="1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 ht="16.5" customHeight="1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 ht="16.5" customHeight="1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 ht="16.5" customHeight="1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 ht="16.5" customHeight="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 ht="16.5" customHeight="1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 ht="16.5" customHeight="1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 ht="16.5" customHeight="1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 ht="16.5" customHeight="1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 ht="16.5" customHeight="1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 ht="16.5" customHeight="1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 ht="16.5" customHeight="1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 ht="16.5" customHeight="1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 ht="16.5" customHeight="1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 ht="16.5" customHeight="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 ht="16.5" customHeight="1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 ht="16.5" customHeight="1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 ht="16.5" customHeight="1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 ht="16.5" customHeight="1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 ht="16.5" customHeight="1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 ht="16.5" customHeight="1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 ht="16.5" customHeight="1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 ht="16.5" customHeight="1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 ht="16.5" customHeight="1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 ht="16.5" customHeight="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 ht="16.5" customHeight="1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 ht="16.5" customHeight="1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 ht="16.5" customHeight="1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 ht="16.5" customHeight="1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 ht="16.5" customHeight="1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 ht="16.5" customHeight="1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 ht="16.5" customHeight="1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 ht="16.5" customHeight="1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 ht="16.5" customHeight="1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 ht="16.5" customHeight="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 ht="16.5" customHeight="1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 ht="16.5" customHeight="1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 ht="16.5" customHeight="1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 ht="16.5" customHeight="1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 ht="16.5" customHeight="1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 ht="16.5" customHeight="1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 ht="16.5" customHeight="1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 ht="16.5" customHeight="1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 ht="16.5" customHeight="1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 ht="16.5" customHeight="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 ht="16.5" customHeight="1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 ht="16.5" customHeight="1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 ht="16.5" customHeight="1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 ht="16.5" customHeight="1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 ht="16.5" customHeight="1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 ht="16.5" customHeight="1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 ht="16.5" customHeight="1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 ht="16.5" customHeight="1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 ht="16.5" customHeight="1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 ht="16.5" customHeight="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 ht="16.5" customHeight="1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 ht="16.5" customHeight="1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 ht="16.5" customHeight="1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 ht="16.5" customHeight="1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 ht="16.5" customHeight="1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 ht="16.5" customHeight="1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 ht="16.5" customHeight="1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 ht="16.5" customHeight="1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 ht="16.5" customHeight="1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 ht="16.5" customHeight="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 ht="16.5" customHeight="1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 ht="16.5" customHeight="1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 ht="16.5" customHeight="1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 ht="16.5" customHeight="1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 ht="16.5" customHeight="1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 ht="16.5" customHeight="1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 ht="16.5" customHeight="1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 ht="16.5" customHeight="1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 ht="16.5" customHeight="1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 ht="16.5" customHeight="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 ht="16.5" customHeight="1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 ht="16.5" customHeight="1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 ht="16.5" customHeight="1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 ht="16.5" customHeight="1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 ht="16.5" customHeight="1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 ht="16.5" customHeight="1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 ht="16.5" customHeight="1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 ht="16.5" customHeight="1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 ht="16.5" customHeight="1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 ht="16.5" customHeight="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 ht="16.5" customHeight="1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 ht="16.5" customHeight="1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 ht="16.5" customHeight="1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 ht="16.5" customHeight="1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 ht="16.5" customHeight="1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 ht="16.5" customHeight="1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 ht="16.5" customHeight="1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 ht="16.5" customHeight="1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 ht="16.5" customHeight="1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 ht="16.5" customHeight="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 ht="16.5" customHeight="1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 ht="16.5" customHeight="1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 ht="16.5" customHeight="1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 ht="16.5" customHeight="1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 ht="16.5" customHeight="1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 ht="16.5" customHeight="1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 ht="16.5" customHeight="1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 ht="16.5" customHeight="1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 ht="16.5" customHeight="1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 ht="16.5" customHeight="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 ht="16.5" customHeight="1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 ht="16.5" customHeight="1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 ht="16.5" customHeight="1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 ht="16.5" customHeight="1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 ht="16.5" customHeight="1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 ht="16.5" customHeight="1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 ht="16.5" customHeight="1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 ht="16.5" customHeight="1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 ht="16.5" customHeight="1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 ht="16.5" customHeight="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 ht="16.5" customHeight="1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 ht="16.5" customHeight="1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 ht="16.5" customHeight="1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 ht="16.5" customHeight="1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 ht="16.5" customHeight="1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 ht="16.5" customHeight="1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 ht="16.5" customHeight="1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 ht="16.5" customHeight="1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 ht="16.5" customHeight="1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 ht="16.5" customHeight="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 ht="16.5" customHeight="1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 ht="16.5" customHeight="1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 ht="16.5" customHeight="1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 ht="16.5" customHeight="1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 ht="16.5" customHeight="1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 ht="16.5" customHeight="1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 ht="16.5" customHeight="1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 ht="16.5" customHeight="1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 ht="16.5" customHeight="1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 ht="16.5" customHeight="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 ht="16.5" customHeight="1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 ht="16.5" customHeight="1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 ht="16.5" customHeight="1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 ht="16.5" customHeight="1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 ht="16.5" customHeight="1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 ht="16.5" customHeight="1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 ht="16.5" customHeight="1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 ht="16.5" customHeight="1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 ht="16.5" customHeight="1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 ht="16.5" customHeight="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 ht="16.5" customHeight="1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 ht="16.5" customHeight="1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 ht="16.5" customHeight="1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 ht="16.5" customHeight="1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 ht="16.5" customHeight="1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 ht="16.5" customHeight="1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 ht="16.5" customHeight="1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 ht="16.5" customHeight="1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 ht="16.5" customHeight="1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 ht="16.5" customHeight="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 ht="16.5" customHeight="1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 ht="16.5" customHeight="1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 ht="16.5" customHeight="1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 ht="16.5" customHeight="1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 ht="16.5" customHeight="1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 ht="16.5" customHeight="1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 ht="16.5" customHeight="1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 ht="16.5" customHeight="1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 ht="16.5" customHeight="1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 ht="16.5" customHeight="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 ht="16.5" customHeight="1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 ht="16.5" customHeight="1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 ht="16.5" customHeight="1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 ht="16.5" customHeight="1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 ht="16.5" customHeight="1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 ht="16.5" customHeight="1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 ht="16.5" customHeight="1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 ht="16.5" customHeight="1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 ht="16.5" customHeight="1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 ht="16.5" customHeight="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 ht="16.5" customHeight="1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 ht="16.5" customHeight="1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 ht="16.5" customHeight="1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 ht="16.5" customHeight="1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 ht="16.5" customHeight="1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 ht="16.5" customHeight="1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 ht="16.5" customHeight="1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 ht="16.5" customHeight="1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 ht="16.5" customHeight="1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 ht="16.5" customHeight="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 ht="16.5" customHeight="1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 ht="16.5" customHeight="1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 ht="16.5" customHeight="1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 ht="16.5" customHeight="1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 ht="16.5" customHeight="1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 ht="16.5" customHeight="1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 ht="16.5" customHeight="1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 ht="16.5" customHeight="1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 ht="16.5" customHeight="1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 ht="16.5" customHeight="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 ht="16.5" customHeight="1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 ht="16.5" customHeight="1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 ht="16.5" customHeight="1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 ht="16.5" customHeight="1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 ht="16.5" customHeight="1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 ht="16.5" customHeight="1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 ht="16.5" customHeight="1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 ht="16.5" customHeight="1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 ht="16.5" customHeight="1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 ht="16.5" customHeight="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 ht="16.5" customHeight="1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 ht="16.5" customHeight="1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 ht="16.5" customHeight="1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 ht="16.5" customHeight="1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 ht="16.5" customHeight="1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 ht="16.5" customHeight="1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 ht="16.5" customHeight="1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 ht="16.5" customHeight="1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 ht="16.5" customHeight="1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 ht="16.5" customHeight="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 ht="16.5" customHeight="1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 ht="16.5" customHeight="1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 ht="16.5" customHeight="1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 ht="16.5" customHeight="1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 ht="16.5" customHeight="1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 ht="16.5" customHeight="1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 ht="16.5" customHeight="1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 ht="16.5" customHeight="1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 ht="16.5" customHeight="1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 ht="16.5" customHeight="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 ht="16.5" customHeight="1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 ht="16.5" customHeight="1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 ht="16.5" customHeight="1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 ht="16.5" customHeight="1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 ht="16.5" customHeight="1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 ht="16.5" customHeight="1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 ht="16.5" customHeight="1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 ht="16.5" customHeight="1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 ht="16.5" customHeight="1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 ht="16.5" customHeight="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 ht="16.5" customHeight="1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 ht="16.5" customHeight="1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 ht="16.5" customHeight="1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 ht="16.5" customHeight="1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 ht="16.5" customHeight="1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 ht="16.5" customHeight="1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 ht="16.5" customHeight="1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 ht="16.5" customHeight="1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 ht="16.5" customHeight="1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 ht="16.5" customHeight="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 ht="16.5" customHeight="1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 ht="16.5" customHeight="1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 ht="16.5" customHeight="1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 ht="16.5" customHeight="1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 ht="16.5" customHeight="1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 ht="16.5" customHeight="1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 ht="16.5" customHeight="1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 ht="16.5" customHeight="1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 ht="16.5" customHeight="1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 ht="16.5" customHeight="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 ht="16.5" customHeight="1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 ht="16.5" customHeight="1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 ht="16.5" customHeight="1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 ht="16.5" customHeight="1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 ht="16.5" customHeight="1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 ht="16.5" customHeight="1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 ht="16.5" customHeight="1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 ht="16.5" customHeight="1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 ht="16.5" customHeight="1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 ht="16.5" customHeight="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 ht="16.5" customHeight="1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 ht="16.5" customHeight="1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 ht="16.5" customHeight="1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 ht="16.5" customHeight="1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 ht="16.5" customHeight="1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 ht="16.5" customHeight="1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 ht="16.5" customHeight="1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 ht="16.5" customHeight="1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 ht="16.5" customHeight="1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 ht="16.5" customHeight="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 ht="16.5" customHeight="1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 ht="16.5" customHeight="1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 ht="16.5" customHeight="1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 ht="16.5" customHeight="1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 ht="16.5" customHeight="1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 ht="16.5" customHeight="1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 ht="16.5" customHeight="1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 ht="16.5" customHeight="1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 ht="16.5" customHeight="1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 ht="16.5" customHeight="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 ht="16.5" customHeight="1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 ht="16.5" customHeight="1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 ht="16.5" customHeight="1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 ht="16.5" customHeight="1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 ht="16.5" customHeight="1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 ht="16.5" customHeight="1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 ht="16.5" customHeight="1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 ht="16.5" customHeight="1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 ht="16.5" customHeight="1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 ht="16.5" customHeight="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 ht="16.5" customHeight="1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 ht="16.5" customHeight="1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 ht="16.5" customHeight="1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 ht="16.5" customHeight="1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 ht="16.5" customHeight="1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 ht="16.5" customHeight="1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 ht="16.5" customHeight="1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 ht="16.5" customHeight="1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 ht="16.5" customHeight="1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 ht="16.5" customHeight="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</row>
    <row r="882" ht="16.5" customHeight="1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</row>
    <row r="883" ht="16.5" customHeight="1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</row>
    <row r="884" ht="16.5" customHeight="1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</row>
    <row r="885" ht="16.5" customHeight="1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</row>
    <row r="886" ht="16.5" customHeight="1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</row>
    <row r="887" ht="16.5" customHeight="1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</row>
    <row r="888" ht="16.5" customHeight="1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</row>
    <row r="889" ht="16.5" customHeight="1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</row>
    <row r="890" ht="16.5" customHeight="1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</row>
    <row r="891" ht="16.5" customHeight="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</row>
    <row r="892" ht="16.5" customHeight="1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</row>
    <row r="893" ht="16.5" customHeight="1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</row>
    <row r="894" ht="16.5" customHeight="1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</row>
    <row r="895" ht="16.5" customHeight="1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</row>
    <row r="896" ht="16.5" customHeight="1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</row>
    <row r="897" ht="16.5" customHeight="1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</row>
    <row r="898" ht="16.5" customHeight="1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</row>
    <row r="899" ht="16.5" customHeight="1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</row>
    <row r="900" ht="16.5" customHeight="1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</row>
    <row r="901" ht="16.5" customHeight="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</row>
    <row r="902" ht="16.5" customHeight="1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</row>
    <row r="903" ht="16.5" customHeight="1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</row>
    <row r="904" ht="16.5" customHeight="1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</row>
    <row r="905" ht="16.5" customHeight="1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</row>
    <row r="906" ht="16.5" customHeight="1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</row>
    <row r="907" ht="16.5" customHeight="1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</row>
    <row r="908" ht="16.5" customHeight="1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</row>
    <row r="909" ht="16.5" customHeight="1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</row>
    <row r="910" ht="16.5" customHeight="1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</row>
    <row r="911" ht="16.5" customHeight="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</row>
    <row r="912" ht="16.5" customHeight="1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</row>
    <row r="913" ht="16.5" customHeight="1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</row>
    <row r="914" ht="16.5" customHeight="1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</row>
    <row r="915" ht="16.5" customHeight="1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</row>
    <row r="916" ht="16.5" customHeight="1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</row>
    <row r="917" ht="16.5" customHeight="1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</row>
    <row r="918" ht="16.5" customHeight="1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</row>
    <row r="919" ht="16.5" customHeight="1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</row>
    <row r="920" ht="16.5" customHeight="1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</row>
    <row r="921" ht="16.5" customHeight="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</row>
    <row r="922" ht="16.5" customHeight="1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</row>
    <row r="923" ht="16.5" customHeight="1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</row>
    <row r="924" ht="16.5" customHeight="1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</row>
    <row r="925" ht="16.5" customHeight="1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</row>
    <row r="926" ht="16.5" customHeight="1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</row>
    <row r="927" ht="16.5" customHeight="1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</row>
    <row r="928" ht="16.5" customHeight="1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</row>
    <row r="929" ht="16.5" customHeight="1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</row>
    <row r="930" ht="16.5" customHeight="1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</row>
    <row r="931" ht="16.5" customHeight="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</row>
    <row r="932" ht="16.5" customHeight="1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</row>
    <row r="933" ht="16.5" customHeight="1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</row>
    <row r="934" ht="16.5" customHeight="1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</row>
    <row r="935" ht="16.5" customHeight="1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</row>
    <row r="936" ht="16.5" customHeight="1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</row>
    <row r="937" ht="16.5" customHeight="1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</row>
    <row r="938" ht="16.5" customHeight="1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</row>
    <row r="939" ht="16.5" customHeight="1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</row>
    <row r="940" ht="16.5" customHeight="1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</row>
    <row r="941" ht="16.5" customHeight="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</row>
    <row r="942" ht="16.5" customHeight="1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</row>
    <row r="943" ht="16.5" customHeight="1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</row>
    <row r="944" ht="16.5" customHeight="1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</row>
    <row r="945" ht="16.5" customHeight="1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</row>
    <row r="946" ht="16.5" customHeight="1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</row>
    <row r="947" ht="16.5" customHeight="1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</row>
    <row r="948" ht="16.5" customHeight="1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</row>
    <row r="949" ht="16.5" customHeight="1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</row>
    <row r="950" ht="16.5" customHeight="1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</row>
    <row r="951" ht="16.5" customHeight="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</row>
    <row r="952" ht="16.5" customHeight="1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</row>
    <row r="953" ht="16.5" customHeight="1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</row>
    <row r="954" ht="16.5" customHeight="1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</row>
    <row r="955" ht="16.5" customHeight="1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</row>
    <row r="956" ht="16.5" customHeight="1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</row>
    <row r="957" ht="16.5" customHeight="1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</row>
    <row r="958" ht="16.5" customHeight="1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</row>
    <row r="959" ht="16.5" customHeight="1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</row>
    <row r="960" ht="16.5" customHeight="1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</row>
    <row r="961" ht="16.5" customHeight="1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</row>
    <row r="962" ht="16.5" customHeight="1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</row>
    <row r="963" ht="16.5" customHeight="1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</row>
    <row r="964" ht="16.5" customHeight="1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</row>
    <row r="965" ht="16.5" customHeight="1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</row>
    <row r="966" ht="16.5" customHeight="1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</row>
    <row r="967" ht="16.5" customHeight="1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</row>
    <row r="968" ht="16.5" customHeight="1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</row>
    <row r="969" ht="16.5" customHeight="1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</row>
    <row r="970" ht="16.5" customHeight="1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</row>
    <row r="971" ht="16.5" customHeight="1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</row>
    <row r="972" ht="16.5" customHeight="1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</row>
    <row r="973" ht="16.5" customHeight="1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</row>
    <row r="974" ht="16.5" customHeight="1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</row>
    <row r="975" ht="16.5" customHeight="1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</row>
    <row r="976" ht="16.5" customHeight="1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</row>
    <row r="977" ht="16.5" customHeight="1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</row>
    <row r="978" ht="16.5" customHeight="1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</row>
    <row r="979" ht="16.5" customHeight="1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</row>
    <row r="980" ht="16.5" customHeight="1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</row>
    <row r="981" ht="16.5" customHeight="1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</row>
    <row r="982" ht="16.5" customHeight="1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</row>
    <row r="983" ht="16.5" customHeight="1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</row>
    <row r="984" ht="16.5" customHeight="1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</row>
    <row r="985" ht="16.5" customHeight="1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</row>
    <row r="986" ht="16.5" customHeight="1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</row>
    <row r="987" ht="16.5" customHeight="1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</row>
    <row r="988" ht="16.5" customHeight="1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</row>
    <row r="989" ht="16.5" customHeight="1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</row>
    <row r="990" ht="16.5" customHeight="1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</row>
    <row r="991" ht="16.5" customHeight="1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</row>
    <row r="992" ht="16.5" customHeight="1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</row>
    <row r="993" ht="16.5" customHeight="1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</row>
    <row r="994" ht="16.5" customHeight="1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</row>
    <row r="995" ht="16.5" customHeight="1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</row>
    <row r="996" ht="16.5" customHeight="1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</row>
    <row r="997" ht="16.5" customHeight="1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</row>
    <row r="998" ht="16.5" customHeight="1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</row>
    <row r="999" ht="16.5" customHeight="1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</row>
    <row r="1000" ht="16.5" customHeight="1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</row>
  </sheetData>
  <mergeCells count="1">
    <mergeCell ref="D9:D11"/>
  </mergeCells>
  <hyperlinks>
    <hyperlink r:id="rId1" ref="I15"/>
    <hyperlink r:id="rId2" ref="B18"/>
  </hyperlinks>
  <printOptions/>
  <pageMargins bottom="0.75" footer="0.0" header="0.0" left="0.7" right="0.7" top="0.75"/>
  <pageSetup paperSize="9" orientation="portrait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1.22" defaultRowHeight="15.0"/>
  <cols>
    <col customWidth="1" min="1" max="1" width="4.0"/>
    <col customWidth="1" min="2" max="4" width="33.67"/>
    <col customWidth="1" min="5" max="5" width="90.78"/>
    <col customWidth="1" min="6" max="26" width="33.67"/>
  </cols>
  <sheetData>
    <row r="1" ht="17.25" customHeight="1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ht="17.25" customHeight="1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</row>
    <row r="3" ht="17.25" customHeight="1">
      <c r="A3" s="84"/>
      <c r="B3" s="85" t="s">
        <v>272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</row>
    <row r="4" ht="6.75" customHeight="1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ht="17.25" customHeight="1">
      <c r="A5" s="84"/>
      <c r="B5" s="86" t="s">
        <v>232</v>
      </c>
      <c r="C5" s="86" t="s">
        <v>273</v>
      </c>
      <c r="D5" s="86" t="s">
        <v>38</v>
      </c>
      <c r="E5" s="86" t="s">
        <v>41</v>
      </c>
      <c r="F5" s="86" t="s">
        <v>274</v>
      </c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ht="17.25" customHeight="1">
      <c r="A6" s="84"/>
      <c r="B6" s="87" t="s">
        <v>275</v>
      </c>
      <c r="C6" s="88" t="s">
        <v>276</v>
      </c>
      <c r="D6" s="89" t="s">
        <v>277</v>
      </c>
      <c r="E6" s="89" t="s">
        <v>278</v>
      </c>
      <c r="F6" s="90" t="s">
        <v>279</v>
      </c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ht="17.25" customHeight="1">
      <c r="A7" s="84"/>
      <c r="B7" s="91"/>
      <c r="C7" s="88" t="s">
        <v>280</v>
      </c>
      <c r="D7" s="89" t="s">
        <v>281</v>
      </c>
      <c r="E7" s="89" t="s">
        <v>282</v>
      </c>
      <c r="F7" s="91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ht="17.25" customHeight="1">
      <c r="A8" s="84"/>
      <c r="B8" s="92"/>
      <c r="C8" s="88" t="s">
        <v>283</v>
      </c>
      <c r="D8" s="89" t="s">
        <v>284</v>
      </c>
      <c r="E8" s="89" t="s">
        <v>285</v>
      </c>
      <c r="F8" s="92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ht="17.25" customHeight="1">
      <c r="A9" s="84"/>
      <c r="B9" s="93" t="s">
        <v>286</v>
      </c>
      <c r="C9" s="88" t="s">
        <v>287</v>
      </c>
      <c r="D9" s="89" t="s">
        <v>288</v>
      </c>
      <c r="E9" s="89" t="s">
        <v>289</v>
      </c>
      <c r="F9" s="94" t="s">
        <v>290</v>
      </c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ht="17.25" customHeight="1">
      <c r="A10" s="84"/>
      <c r="B10" s="93" t="s">
        <v>291</v>
      </c>
      <c r="C10" s="88" t="s">
        <v>292</v>
      </c>
      <c r="D10" s="89" t="s">
        <v>293</v>
      </c>
      <c r="E10" s="89" t="s">
        <v>294</v>
      </c>
      <c r="F10" s="94" t="s">
        <v>295</v>
      </c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ht="17.25" customHeight="1">
      <c r="A11" s="84"/>
      <c r="B11" s="84"/>
      <c r="C11" s="84"/>
      <c r="D11" s="84"/>
      <c r="E11" s="95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ht="17.25" customHeight="1">
      <c r="A12" s="84"/>
      <c r="B12" s="96" t="s">
        <v>296</v>
      </c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ht="6.75" customHeight="1">
      <c r="A13" s="84"/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ht="17.25" customHeight="1">
      <c r="A14" s="84"/>
      <c r="B14" s="86" t="s">
        <v>232</v>
      </c>
      <c r="C14" s="86" t="s">
        <v>297</v>
      </c>
      <c r="D14" s="86" t="s">
        <v>233</v>
      </c>
      <c r="E14" s="86" t="s">
        <v>41</v>
      </c>
      <c r="F14" s="86" t="s">
        <v>274</v>
      </c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ht="17.25" customHeight="1">
      <c r="A15" s="84"/>
      <c r="B15" s="97" t="s">
        <v>298</v>
      </c>
      <c r="C15" s="88" t="s">
        <v>299</v>
      </c>
      <c r="D15" s="94" t="s">
        <v>300</v>
      </c>
      <c r="E15" s="94"/>
      <c r="F15" s="94" t="s">
        <v>301</v>
      </c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ht="17.25" customHeight="1">
      <c r="A16" s="84"/>
      <c r="B16" s="97" t="s">
        <v>286</v>
      </c>
      <c r="C16" s="88" t="s">
        <v>286</v>
      </c>
      <c r="D16" s="94" t="s">
        <v>302</v>
      </c>
      <c r="E16" s="89" t="s">
        <v>303</v>
      </c>
      <c r="F16" s="94" t="s">
        <v>290</v>
      </c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ht="39.75" customHeight="1">
      <c r="A17" s="84"/>
      <c r="B17" s="97" t="s">
        <v>304</v>
      </c>
      <c r="C17" s="88" t="s">
        <v>305</v>
      </c>
      <c r="D17" s="94" t="s">
        <v>306</v>
      </c>
      <c r="E17" s="98" t="s">
        <v>307</v>
      </c>
      <c r="F17" s="94" t="s">
        <v>308</v>
      </c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ht="17.25" customHeight="1">
      <c r="A18" s="84"/>
      <c r="B18" s="99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ht="17.25" customHeight="1">
      <c r="A19" s="84"/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ht="17.25" customHeight="1">
      <c r="A20" s="84"/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ht="17.25" customHeight="1">
      <c r="A21" s="84"/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ht="17.25" customHeight="1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ht="17.25" customHeight="1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ht="17.25" customHeight="1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ht="17.25" customHeight="1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ht="17.25" customHeight="1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ht="17.25" customHeight="1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ht="17.25" customHeight="1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ht="17.25" customHeight="1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ht="17.25" customHeight="1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ht="17.25" customHeight="1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ht="17.25" customHeight="1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ht="17.25" customHeight="1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ht="17.25" customHeight="1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ht="17.25" customHeight="1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ht="17.25" customHeight="1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ht="17.25" customHeight="1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ht="17.25" customHeight="1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ht="17.25" customHeight="1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ht="17.25" customHeight="1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ht="17.25" customHeight="1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ht="17.25" customHeight="1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ht="17.25" customHeight="1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ht="17.25" customHeight="1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ht="17.25" customHeight="1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ht="17.25" customHeight="1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ht="17.25" customHeight="1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ht="17.25" customHeight="1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ht="17.25" customHeight="1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ht="17.25" customHeight="1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ht="17.25" customHeight="1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ht="17.25" customHeight="1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ht="17.25" customHeight="1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ht="17.25" customHeight="1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ht="17.25" customHeight="1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ht="17.25" customHeight="1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ht="17.25" customHeight="1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ht="17.25" customHeight="1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ht="17.25" customHeight="1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ht="17.25" customHeight="1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ht="17.25" customHeight="1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ht="17.25" customHeight="1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ht="17.25" customHeight="1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ht="17.25" customHeight="1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ht="17.25" customHeight="1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ht="17.25" customHeight="1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ht="17.25" customHeight="1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ht="17.25" customHeight="1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ht="17.25" customHeight="1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ht="17.25" customHeight="1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ht="17.25" customHeight="1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ht="17.25" customHeight="1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ht="17.25" customHeight="1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ht="17.25" customHeight="1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ht="17.25" customHeight="1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ht="17.25" customHeight="1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ht="17.25" customHeight="1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ht="17.25" customHeight="1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ht="17.25" customHeight="1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ht="17.25" customHeight="1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ht="17.25" customHeight="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ht="17.25" customHeight="1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ht="17.25" customHeight="1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ht="17.25" customHeight="1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ht="17.25" customHeight="1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ht="17.25" customHeight="1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ht="17.25" customHeight="1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ht="17.25" customHeight="1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ht="17.25" customHeight="1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ht="17.25" customHeight="1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ht="17.25" customHeight="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ht="17.25" customHeight="1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ht="17.25" customHeight="1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ht="17.25" customHeight="1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ht="17.25" customHeight="1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ht="17.25" customHeight="1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ht="17.25" customHeight="1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ht="17.25" customHeight="1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ht="17.25" customHeight="1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ht="17.25" customHeight="1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ht="17.25" customHeight="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ht="17.25" customHeight="1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ht="17.25" customHeight="1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ht="17.25" customHeight="1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ht="17.25" customHeight="1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ht="17.25" customHeight="1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ht="17.25" customHeight="1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ht="17.25" customHeight="1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ht="17.25" customHeight="1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ht="17.25" customHeight="1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ht="17.25" customHeight="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ht="17.25" customHeight="1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ht="17.25" customHeight="1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ht="17.25" customHeight="1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ht="17.25" customHeight="1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ht="17.25" customHeight="1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ht="17.25" customHeight="1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ht="17.25" customHeight="1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ht="17.25" customHeight="1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ht="17.25" customHeight="1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ht="17.25" customHeight="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ht="17.25" customHeight="1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ht="17.25" customHeight="1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ht="17.25" customHeight="1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ht="17.25" customHeight="1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ht="17.25" customHeight="1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ht="17.25" customHeight="1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ht="17.25" customHeight="1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ht="17.25" customHeight="1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ht="17.25" customHeight="1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ht="17.25" customHeight="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ht="17.25" customHeight="1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ht="17.25" customHeight="1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ht="17.25" customHeight="1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ht="17.25" customHeight="1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ht="17.25" customHeight="1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ht="17.25" customHeight="1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ht="17.25" customHeight="1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ht="17.25" customHeight="1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ht="17.25" customHeight="1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ht="17.25" customHeight="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ht="17.25" customHeight="1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ht="17.25" customHeight="1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ht="17.25" customHeight="1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ht="17.25" customHeight="1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ht="17.25" customHeight="1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ht="17.25" customHeight="1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ht="17.25" customHeight="1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ht="17.25" customHeight="1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ht="17.25" customHeight="1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ht="17.25" customHeight="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ht="17.25" customHeight="1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ht="17.25" customHeight="1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ht="17.25" customHeight="1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ht="17.25" customHeight="1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ht="17.25" customHeight="1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ht="17.25" customHeight="1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ht="17.25" customHeight="1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ht="17.25" customHeight="1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ht="17.25" customHeight="1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ht="17.25" customHeight="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ht="17.25" customHeight="1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ht="17.25" customHeight="1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ht="17.25" customHeight="1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ht="17.25" customHeight="1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ht="17.25" customHeight="1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ht="17.25" customHeight="1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ht="17.25" customHeight="1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ht="17.25" customHeight="1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ht="17.25" customHeight="1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ht="17.25" customHeight="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ht="17.25" customHeight="1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ht="17.25" customHeight="1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ht="17.25" customHeight="1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ht="17.25" customHeight="1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ht="17.25" customHeight="1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ht="17.25" customHeight="1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ht="17.25" customHeight="1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ht="17.25" customHeight="1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ht="17.25" customHeight="1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ht="17.25" customHeight="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ht="17.25" customHeight="1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ht="17.25" customHeight="1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ht="17.25" customHeight="1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ht="17.25" customHeight="1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ht="17.25" customHeight="1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ht="17.25" customHeight="1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ht="17.25" customHeight="1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ht="17.25" customHeight="1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ht="17.25" customHeight="1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ht="17.25" customHeight="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ht="17.25" customHeight="1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ht="17.25" customHeight="1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ht="17.25" customHeight="1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ht="17.25" customHeight="1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ht="17.25" customHeight="1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ht="17.25" customHeight="1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ht="17.25" customHeight="1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ht="17.25" customHeight="1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ht="17.25" customHeight="1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ht="17.25" customHeight="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ht="17.25" customHeight="1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ht="17.25" customHeight="1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ht="17.25" customHeight="1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ht="17.25" customHeight="1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ht="17.25" customHeight="1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ht="17.25" customHeight="1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ht="17.25" customHeight="1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ht="17.25" customHeight="1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ht="17.25" customHeight="1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ht="17.25" customHeight="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ht="17.25" customHeight="1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ht="17.25" customHeight="1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ht="17.25" customHeight="1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ht="17.25" customHeight="1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ht="17.25" customHeight="1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ht="17.25" customHeight="1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ht="17.25" customHeight="1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ht="17.25" customHeight="1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ht="17.25" customHeight="1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ht="17.25" customHeight="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ht="17.25" customHeight="1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ht="17.25" customHeight="1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ht="17.25" customHeight="1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ht="17.25" customHeight="1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ht="17.25" customHeight="1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ht="17.25" customHeight="1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ht="17.25" customHeight="1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ht="17.25" customHeight="1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ht="17.25" customHeight="1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ht="17.25" customHeight="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ht="17.25" customHeight="1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ht="17.25" customHeight="1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ht="17.25" customHeight="1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ht="17.25" customHeight="1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ht="17.25" customHeight="1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ht="17.25" customHeight="1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ht="17.25" customHeight="1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ht="17.25" customHeight="1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ht="17.25" customHeight="1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ht="17.25" customHeight="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ht="17.25" customHeight="1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ht="17.25" customHeight="1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ht="17.25" customHeight="1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ht="17.25" customHeight="1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ht="17.25" customHeight="1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ht="17.25" customHeight="1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ht="17.25" customHeight="1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ht="17.25" customHeight="1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ht="17.25" customHeight="1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ht="17.25" customHeight="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ht="17.25" customHeight="1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ht="17.25" customHeight="1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ht="17.25" customHeight="1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ht="17.25" customHeight="1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ht="17.25" customHeight="1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ht="17.25" customHeight="1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ht="17.25" customHeight="1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ht="17.25" customHeight="1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ht="17.25" customHeight="1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ht="17.25" customHeight="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ht="17.25" customHeight="1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ht="17.25" customHeight="1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ht="17.25" customHeight="1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ht="17.25" customHeight="1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ht="17.25" customHeight="1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ht="17.25" customHeight="1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ht="17.25" customHeight="1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ht="17.25" customHeight="1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ht="17.25" customHeight="1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ht="17.25" customHeight="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ht="17.25" customHeight="1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ht="17.25" customHeight="1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ht="17.25" customHeight="1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ht="17.25" customHeight="1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ht="17.25" customHeight="1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ht="17.25" customHeight="1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ht="17.25" customHeight="1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ht="17.25" customHeight="1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ht="17.25" customHeight="1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ht="17.25" customHeight="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ht="17.25" customHeight="1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ht="17.25" customHeight="1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ht="17.25" customHeight="1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ht="17.25" customHeight="1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ht="17.25" customHeight="1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ht="17.25" customHeight="1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ht="17.25" customHeight="1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ht="17.25" customHeight="1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ht="17.25" customHeight="1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ht="17.25" customHeight="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ht="17.25" customHeight="1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ht="17.25" customHeight="1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ht="17.25" customHeight="1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ht="17.25" customHeight="1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ht="17.25" customHeight="1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ht="17.25" customHeight="1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ht="17.25" customHeight="1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ht="17.25" customHeight="1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ht="17.25" customHeight="1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ht="17.25" customHeight="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ht="17.25" customHeight="1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ht="17.25" customHeight="1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ht="17.25" customHeight="1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ht="17.25" customHeight="1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ht="17.25" customHeight="1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ht="17.25" customHeight="1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ht="17.25" customHeight="1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ht="17.25" customHeight="1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ht="17.25" customHeight="1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ht="17.25" customHeight="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ht="17.25" customHeight="1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ht="17.25" customHeight="1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ht="17.25" customHeight="1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ht="17.25" customHeight="1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ht="17.25" customHeight="1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ht="17.25" customHeight="1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ht="17.25" customHeight="1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ht="17.25" customHeight="1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ht="17.25" customHeight="1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ht="17.25" customHeight="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ht="17.25" customHeight="1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ht="17.25" customHeight="1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ht="17.25" customHeight="1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ht="17.25" customHeight="1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ht="17.25" customHeight="1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ht="17.25" customHeight="1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ht="17.25" customHeight="1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ht="17.25" customHeight="1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ht="17.25" customHeight="1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ht="17.25" customHeight="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ht="17.25" customHeight="1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ht="17.25" customHeight="1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ht="17.25" customHeight="1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ht="17.25" customHeight="1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ht="17.25" customHeight="1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ht="17.25" customHeight="1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ht="17.25" customHeight="1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ht="17.25" customHeight="1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ht="17.25" customHeight="1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ht="17.25" customHeight="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ht="17.25" customHeight="1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ht="17.25" customHeight="1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ht="17.25" customHeight="1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ht="17.25" customHeight="1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ht="17.25" customHeight="1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ht="17.25" customHeight="1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ht="17.25" customHeight="1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ht="17.25" customHeight="1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ht="17.25" customHeight="1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ht="17.25" customHeight="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ht="17.25" customHeight="1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ht="17.25" customHeight="1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ht="17.25" customHeight="1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ht="17.25" customHeight="1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ht="17.25" customHeight="1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ht="17.25" customHeight="1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ht="17.25" customHeight="1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ht="17.25" customHeight="1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ht="17.25" customHeight="1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ht="17.25" customHeight="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ht="17.25" customHeight="1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ht="17.25" customHeight="1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ht="17.25" customHeight="1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ht="17.25" customHeight="1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ht="17.25" customHeight="1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ht="17.25" customHeight="1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ht="17.25" customHeight="1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ht="17.25" customHeight="1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ht="17.25" customHeight="1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ht="17.25" customHeight="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ht="17.25" customHeight="1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ht="17.25" customHeight="1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ht="17.25" customHeight="1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ht="17.25" customHeight="1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ht="17.25" customHeight="1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ht="17.25" customHeight="1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ht="17.25" customHeight="1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ht="17.25" customHeight="1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ht="17.25" customHeight="1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ht="17.25" customHeight="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ht="17.25" customHeight="1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ht="17.25" customHeight="1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ht="17.25" customHeight="1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ht="17.25" customHeight="1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ht="17.25" customHeight="1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ht="17.25" customHeight="1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ht="17.25" customHeight="1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ht="17.25" customHeight="1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ht="17.25" customHeight="1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ht="17.25" customHeight="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ht="17.25" customHeight="1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ht="17.25" customHeight="1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ht="17.25" customHeight="1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ht="17.25" customHeight="1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ht="17.25" customHeight="1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ht="17.25" customHeight="1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ht="17.25" customHeight="1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ht="17.25" customHeight="1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ht="17.25" customHeight="1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ht="17.25" customHeight="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ht="17.25" customHeight="1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ht="17.25" customHeight="1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ht="17.25" customHeight="1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ht="17.25" customHeight="1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ht="17.25" customHeight="1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ht="17.25" customHeight="1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ht="17.25" customHeight="1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ht="17.25" customHeight="1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ht="17.25" customHeight="1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ht="17.25" customHeight="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ht="17.25" customHeight="1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ht="17.25" customHeight="1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ht="17.25" customHeight="1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ht="17.25" customHeight="1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ht="17.25" customHeight="1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ht="17.25" customHeight="1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ht="17.25" customHeight="1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ht="17.25" customHeight="1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ht="17.25" customHeight="1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ht="17.25" customHeight="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ht="17.25" customHeight="1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ht="17.25" customHeight="1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ht="17.25" customHeight="1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ht="17.25" customHeight="1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ht="17.25" customHeight="1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ht="17.25" customHeight="1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ht="17.25" customHeight="1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ht="17.25" customHeight="1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ht="17.25" customHeight="1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ht="17.25" customHeight="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ht="17.25" customHeight="1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ht="17.25" customHeight="1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ht="17.25" customHeight="1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ht="17.25" customHeight="1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ht="17.25" customHeight="1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ht="17.25" customHeight="1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ht="17.25" customHeight="1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ht="17.25" customHeight="1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ht="17.25" customHeight="1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ht="17.25" customHeight="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ht="17.25" customHeight="1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ht="17.25" customHeight="1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ht="17.25" customHeight="1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ht="17.25" customHeight="1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ht="17.25" customHeight="1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ht="17.25" customHeight="1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ht="17.25" customHeight="1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ht="17.25" customHeight="1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ht="17.25" customHeight="1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ht="17.25" customHeight="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ht="17.25" customHeight="1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ht="17.25" customHeight="1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ht="17.25" customHeight="1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ht="17.25" customHeight="1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ht="17.25" customHeight="1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ht="17.25" customHeight="1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ht="17.25" customHeight="1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ht="17.25" customHeight="1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ht="17.25" customHeight="1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ht="17.25" customHeight="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ht="17.25" customHeight="1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ht="17.25" customHeight="1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ht="17.25" customHeight="1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ht="17.25" customHeight="1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ht="17.25" customHeight="1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ht="17.25" customHeight="1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ht="17.25" customHeight="1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ht="17.25" customHeight="1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ht="17.25" customHeight="1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ht="17.25" customHeight="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ht="17.25" customHeight="1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ht="17.25" customHeight="1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ht="17.25" customHeight="1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ht="17.25" customHeight="1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ht="17.25" customHeight="1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ht="17.25" customHeight="1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ht="17.25" customHeight="1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ht="17.25" customHeight="1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ht="17.25" customHeight="1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ht="17.25" customHeight="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ht="17.25" customHeight="1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ht="17.25" customHeight="1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ht="17.25" customHeight="1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ht="17.25" customHeight="1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ht="17.25" customHeight="1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ht="17.25" customHeight="1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ht="17.25" customHeight="1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ht="17.25" customHeight="1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ht="17.25" customHeight="1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ht="17.25" customHeight="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ht="17.25" customHeight="1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ht="17.25" customHeight="1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ht="17.25" customHeight="1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ht="17.25" customHeight="1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ht="17.25" customHeight="1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ht="17.25" customHeight="1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ht="17.25" customHeight="1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ht="17.25" customHeight="1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ht="17.25" customHeight="1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ht="17.25" customHeight="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ht="17.25" customHeight="1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ht="17.25" customHeight="1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ht="17.25" customHeight="1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ht="17.25" customHeight="1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ht="17.25" customHeight="1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ht="17.25" customHeight="1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ht="17.25" customHeight="1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ht="17.25" customHeight="1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ht="17.25" customHeight="1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ht="17.25" customHeight="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ht="17.25" customHeight="1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ht="17.25" customHeight="1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ht="17.25" customHeight="1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ht="17.25" customHeight="1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ht="17.25" customHeight="1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ht="17.25" customHeight="1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ht="17.25" customHeight="1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ht="17.25" customHeight="1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ht="17.25" customHeight="1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ht="17.25" customHeight="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ht="17.25" customHeight="1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ht="17.25" customHeight="1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ht="17.25" customHeight="1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ht="17.25" customHeight="1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ht="17.25" customHeight="1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ht="17.25" customHeight="1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ht="17.25" customHeight="1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ht="17.25" customHeight="1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ht="17.25" customHeight="1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ht="17.25" customHeight="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ht="17.25" customHeight="1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ht="17.25" customHeight="1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ht="17.25" customHeight="1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ht="17.25" customHeight="1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ht="17.25" customHeight="1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ht="17.25" customHeight="1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ht="17.25" customHeight="1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ht="17.25" customHeight="1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ht="17.25" customHeight="1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ht="17.25" customHeight="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ht="17.25" customHeight="1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ht="17.25" customHeight="1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ht="17.25" customHeight="1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ht="17.25" customHeight="1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ht="17.25" customHeight="1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ht="17.25" customHeight="1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ht="17.25" customHeight="1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ht="17.25" customHeight="1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ht="17.25" customHeight="1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ht="17.25" customHeight="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ht="17.25" customHeight="1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ht="17.25" customHeight="1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ht="17.25" customHeight="1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ht="17.25" customHeight="1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ht="17.25" customHeight="1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ht="17.25" customHeight="1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ht="17.25" customHeight="1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ht="17.25" customHeight="1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ht="17.25" customHeight="1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ht="17.25" customHeight="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ht="17.25" customHeight="1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ht="17.25" customHeight="1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ht="17.25" customHeight="1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ht="17.25" customHeight="1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ht="17.25" customHeight="1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ht="17.25" customHeight="1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ht="17.25" customHeight="1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ht="17.25" customHeight="1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ht="17.25" customHeight="1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ht="17.25" customHeight="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ht="17.25" customHeight="1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ht="17.25" customHeight="1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ht="17.25" customHeight="1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ht="17.25" customHeight="1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ht="17.25" customHeight="1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ht="17.25" customHeight="1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ht="17.25" customHeight="1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ht="17.25" customHeight="1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ht="17.25" customHeight="1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ht="17.25" customHeight="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ht="17.25" customHeight="1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ht="17.25" customHeight="1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ht="17.25" customHeight="1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ht="17.25" customHeight="1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ht="17.25" customHeight="1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ht="17.25" customHeight="1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ht="17.25" customHeight="1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ht="17.25" customHeight="1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ht="17.25" customHeight="1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ht="17.25" customHeight="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ht="17.25" customHeight="1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ht="17.25" customHeight="1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ht="17.25" customHeight="1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ht="17.25" customHeight="1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ht="17.25" customHeight="1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ht="17.25" customHeight="1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ht="17.25" customHeight="1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ht="17.25" customHeight="1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ht="17.25" customHeight="1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ht="17.25" customHeight="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ht="17.25" customHeight="1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ht="17.25" customHeight="1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ht="17.25" customHeight="1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ht="17.25" customHeight="1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ht="17.25" customHeight="1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ht="17.25" customHeight="1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ht="17.25" customHeight="1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ht="17.25" customHeight="1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ht="17.25" customHeight="1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ht="17.25" customHeight="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ht="17.25" customHeight="1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ht="17.25" customHeight="1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ht="17.25" customHeight="1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ht="17.25" customHeight="1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ht="17.25" customHeight="1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ht="17.25" customHeight="1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ht="17.25" customHeight="1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ht="17.25" customHeight="1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ht="17.25" customHeight="1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ht="17.25" customHeight="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ht="17.25" customHeight="1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ht="17.25" customHeight="1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ht="17.25" customHeight="1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ht="17.25" customHeight="1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ht="17.25" customHeight="1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ht="17.25" customHeight="1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ht="17.25" customHeight="1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ht="17.25" customHeight="1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ht="17.25" customHeight="1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ht="17.25" customHeight="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ht="17.25" customHeight="1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ht="17.25" customHeight="1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ht="17.25" customHeight="1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ht="17.25" customHeight="1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ht="17.25" customHeight="1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ht="17.25" customHeight="1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ht="17.25" customHeight="1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ht="17.25" customHeight="1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ht="17.25" customHeight="1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ht="17.25" customHeight="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ht="17.25" customHeight="1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ht="17.25" customHeight="1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ht="17.25" customHeight="1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ht="17.25" customHeight="1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ht="17.25" customHeight="1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ht="17.25" customHeight="1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ht="17.25" customHeight="1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ht="17.25" customHeight="1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ht="17.25" customHeight="1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ht="17.25" customHeight="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ht="17.25" customHeight="1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ht="17.25" customHeight="1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ht="17.25" customHeight="1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ht="17.25" customHeight="1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ht="17.25" customHeight="1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ht="17.25" customHeight="1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ht="17.25" customHeight="1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ht="17.25" customHeight="1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ht="17.25" customHeight="1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ht="17.25" customHeight="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ht="17.25" customHeight="1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ht="17.25" customHeight="1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ht="17.25" customHeight="1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ht="17.25" customHeight="1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ht="17.25" customHeight="1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ht="17.25" customHeight="1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ht="17.25" customHeight="1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ht="17.25" customHeight="1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ht="17.25" customHeight="1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ht="17.25" customHeight="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ht="17.25" customHeight="1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ht="17.25" customHeight="1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ht="17.25" customHeight="1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ht="17.25" customHeight="1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ht="17.25" customHeight="1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ht="17.25" customHeight="1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ht="17.25" customHeight="1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ht="17.25" customHeight="1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ht="17.25" customHeight="1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ht="17.25" customHeight="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ht="17.25" customHeight="1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ht="17.25" customHeight="1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ht="17.25" customHeight="1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ht="17.25" customHeight="1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ht="17.25" customHeight="1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ht="17.25" customHeight="1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ht="17.25" customHeight="1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ht="17.25" customHeight="1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ht="17.25" customHeight="1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ht="17.25" customHeight="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ht="17.25" customHeight="1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ht="17.25" customHeight="1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ht="17.25" customHeight="1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ht="17.25" customHeight="1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ht="17.25" customHeight="1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ht="17.25" customHeight="1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ht="17.25" customHeight="1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ht="17.25" customHeight="1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ht="17.25" customHeight="1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ht="17.25" customHeight="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ht="17.25" customHeight="1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ht="17.25" customHeight="1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ht="17.25" customHeight="1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ht="17.25" customHeight="1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ht="17.25" customHeight="1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ht="17.25" customHeight="1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ht="17.25" customHeight="1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ht="17.25" customHeight="1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ht="17.25" customHeight="1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ht="17.25" customHeight="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ht="17.25" customHeight="1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ht="17.25" customHeight="1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ht="17.25" customHeight="1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ht="17.25" customHeight="1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ht="17.25" customHeight="1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ht="17.25" customHeight="1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ht="17.25" customHeight="1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ht="17.25" customHeight="1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ht="17.25" customHeight="1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ht="17.25" customHeight="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ht="17.25" customHeight="1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ht="17.25" customHeight="1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ht="17.25" customHeight="1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ht="17.25" customHeight="1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ht="17.25" customHeight="1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ht="17.25" customHeight="1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ht="17.25" customHeight="1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ht="17.25" customHeight="1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ht="17.25" customHeight="1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ht="17.25" customHeight="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ht="17.25" customHeight="1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ht="17.25" customHeight="1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ht="17.25" customHeight="1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ht="17.25" customHeight="1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ht="17.25" customHeight="1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ht="17.25" customHeight="1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ht="17.25" customHeight="1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ht="17.25" customHeight="1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ht="17.25" customHeight="1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ht="17.25" customHeight="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ht="17.25" customHeight="1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ht="17.25" customHeight="1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ht="17.25" customHeight="1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ht="17.25" customHeight="1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ht="17.25" customHeight="1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ht="17.25" customHeight="1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ht="17.25" customHeight="1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ht="17.25" customHeight="1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ht="17.25" customHeight="1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ht="17.25" customHeight="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ht="17.25" customHeight="1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ht="17.25" customHeight="1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ht="17.25" customHeight="1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ht="17.25" customHeight="1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ht="17.25" customHeight="1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ht="17.25" customHeight="1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ht="17.25" customHeight="1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ht="17.25" customHeight="1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ht="17.25" customHeight="1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ht="17.25" customHeight="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ht="17.25" customHeight="1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ht="17.25" customHeight="1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ht="17.25" customHeight="1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ht="17.25" customHeight="1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ht="17.25" customHeight="1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ht="17.25" customHeight="1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ht="17.25" customHeight="1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ht="17.25" customHeight="1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ht="17.25" customHeight="1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ht="17.25" customHeight="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ht="17.25" customHeight="1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ht="17.25" customHeight="1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ht="17.25" customHeight="1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ht="17.25" customHeight="1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ht="17.25" customHeight="1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ht="17.25" customHeight="1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ht="17.25" customHeight="1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ht="17.25" customHeight="1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ht="17.25" customHeight="1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ht="17.25" customHeight="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ht="17.25" customHeight="1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ht="17.25" customHeight="1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ht="17.25" customHeight="1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ht="17.25" customHeight="1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ht="17.25" customHeight="1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ht="17.25" customHeight="1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ht="17.25" customHeight="1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ht="17.25" customHeight="1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ht="17.25" customHeight="1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ht="17.25" customHeight="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ht="17.25" customHeight="1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ht="17.25" customHeight="1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ht="17.25" customHeight="1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ht="17.25" customHeight="1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ht="17.25" customHeight="1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ht="17.25" customHeight="1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ht="17.25" customHeight="1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ht="17.25" customHeight="1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ht="17.25" customHeight="1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ht="17.25" customHeight="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ht="17.25" customHeight="1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ht="17.25" customHeight="1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ht="17.25" customHeight="1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ht="17.25" customHeight="1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ht="17.25" customHeight="1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ht="17.25" customHeight="1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ht="17.25" customHeight="1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ht="17.25" customHeight="1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ht="17.25" customHeight="1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ht="17.25" customHeight="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ht="17.25" customHeight="1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ht="17.25" customHeight="1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ht="17.25" customHeight="1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ht="17.25" customHeight="1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ht="17.25" customHeight="1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ht="17.25" customHeight="1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ht="17.25" customHeight="1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ht="17.25" customHeight="1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ht="17.25" customHeight="1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ht="17.25" customHeight="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ht="17.25" customHeight="1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ht="17.25" customHeight="1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ht="17.25" customHeight="1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ht="17.25" customHeight="1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ht="17.25" customHeight="1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ht="17.25" customHeight="1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ht="17.25" customHeight="1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ht="17.25" customHeight="1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ht="17.25" customHeight="1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ht="17.25" customHeight="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ht="17.25" customHeight="1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ht="17.25" customHeight="1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ht="17.25" customHeight="1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ht="17.25" customHeight="1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ht="17.25" customHeight="1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ht="17.25" customHeight="1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ht="17.25" customHeight="1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ht="17.25" customHeight="1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ht="17.25" customHeight="1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ht="17.25" customHeight="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ht="17.25" customHeight="1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ht="17.25" customHeight="1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ht="17.25" customHeight="1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ht="17.25" customHeight="1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ht="17.25" customHeight="1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ht="17.25" customHeight="1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ht="17.25" customHeight="1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ht="17.25" customHeight="1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ht="17.25" customHeight="1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ht="17.25" customHeight="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ht="17.25" customHeight="1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ht="17.25" customHeight="1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ht="17.25" customHeight="1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ht="17.25" customHeight="1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ht="17.25" customHeight="1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ht="17.25" customHeight="1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ht="17.25" customHeight="1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ht="17.25" customHeight="1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ht="17.25" customHeight="1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ht="17.25" customHeight="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ht="17.25" customHeight="1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ht="17.25" customHeight="1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ht="17.25" customHeight="1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ht="17.25" customHeight="1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ht="17.25" customHeight="1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ht="17.25" customHeight="1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ht="17.25" customHeight="1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ht="17.25" customHeight="1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ht="17.25" customHeight="1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ht="17.25" customHeight="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ht="17.25" customHeight="1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ht="17.25" customHeight="1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ht="17.25" customHeight="1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ht="17.25" customHeight="1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ht="17.25" customHeight="1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ht="17.25" customHeight="1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ht="17.25" customHeight="1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ht="17.25" customHeight="1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ht="17.25" customHeight="1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ht="17.25" customHeight="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ht="17.25" customHeight="1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ht="17.25" customHeight="1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ht="17.25" customHeight="1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ht="17.25" customHeight="1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ht="17.25" customHeight="1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ht="17.25" customHeight="1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ht="17.25" customHeight="1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ht="17.25" customHeight="1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ht="17.25" customHeight="1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ht="17.25" customHeight="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ht="17.25" customHeight="1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ht="17.25" customHeight="1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ht="17.25" customHeight="1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ht="17.25" customHeight="1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ht="17.25" customHeight="1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ht="17.25" customHeight="1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ht="17.25" customHeight="1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ht="17.25" customHeight="1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ht="17.25" customHeight="1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ht="17.25" customHeight="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ht="17.25" customHeight="1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ht="17.25" customHeight="1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ht="17.25" customHeight="1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ht="17.25" customHeight="1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ht="17.25" customHeight="1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ht="17.25" customHeight="1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ht="17.25" customHeight="1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ht="17.25" customHeight="1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ht="17.25" customHeight="1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ht="17.25" customHeight="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ht="17.25" customHeight="1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ht="17.25" customHeight="1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ht="17.25" customHeight="1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ht="17.25" customHeight="1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ht="17.25" customHeight="1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ht="17.25" customHeight="1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ht="17.25" customHeight="1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ht="17.25" customHeight="1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ht="17.25" customHeight="1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ht="17.25" customHeight="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ht="17.25" customHeight="1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ht="17.25" customHeight="1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ht="17.25" customHeight="1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ht="17.25" customHeight="1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ht="17.25" customHeight="1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ht="17.25" customHeight="1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ht="17.25" customHeight="1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ht="17.25" customHeight="1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ht="17.25" customHeight="1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ht="17.25" customHeight="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ht="17.25" customHeight="1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ht="17.25" customHeight="1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ht="17.25" customHeight="1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ht="17.25" customHeight="1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ht="17.25" customHeight="1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ht="17.25" customHeight="1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ht="17.25" customHeight="1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ht="17.25" customHeight="1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ht="17.25" customHeight="1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ht="17.25" customHeight="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ht="17.25" customHeight="1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ht="17.25" customHeight="1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ht="17.25" customHeight="1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ht="17.25" customHeight="1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ht="17.25" customHeight="1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ht="17.25" customHeight="1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ht="17.25" customHeight="1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ht="17.25" customHeight="1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ht="17.25" customHeight="1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ht="17.25" customHeight="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ht="17.25" customHeight="1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ht="17.25" customHeight="1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ht="17.25" customHeight="1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ht="17.25" customHeight="1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ht="17.25" customHeight="1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ht="17.25" customHeight="1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ht="17.25" customHeight="1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ht="17.25" customHeight="1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ht="17.25" customHeight="1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ht="17.25" customHeight="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ht="17.25" customHeight="1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ht="17.25" customHeight="1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ht="17.25" customHeight="1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ht="17.25" customHeight="1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ht="17.25" customHeight="1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ht="17.25" customHeight="1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ht="17.25" customHeight="1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ht="17.25" customHeight="1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ht="17.25" customHeight="1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ht="17.25" customHeight="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ht="17.25" customHeight="1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ht="17.25" customHeight="1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 ht="17.25" customHeight="1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 ht="17.25" customHeight="1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 ht="17.25" customHeight="1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 ht="17.25" customHeight="1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 ht="17.25" customHeight="1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 ht="17.25" customHeight="1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 ht="17.25" customHeight="1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 ht="17.25" customHeight="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 ht="17.25" customHeight="1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 ht="17.25" customHeight="1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 ht="17.25" customHeight="1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 ht="17.25" customHeight="1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 ht="17.25" customHeight="1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 ht="17.25" customHeight="1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 ht="17.25" customHeight="1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 ht="17.25" customHeight="1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 ht="17.25" customHeight="1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 ht="17.25" customHeight="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 ht="17.25" customHeight="1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 ht="17.25" customHeight="1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 ht="17.25" customHeight="1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 ht="17.25" customHeight="1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 ht="17.25" customHeight="1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 ht="17.25" customHeight="1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 ht="17.25" customHeight="1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 ht="17.25" customHeight="1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  <row r="1000" ht="17.25" customHeight="1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</row>
  </sheetData>
  <mergeCells count="2">
    <mergeCell ref="B6:B8"/>
    <mergeCell ref="F6:F8"/>
  </mergeCells>
  <hyperlinks>
    <hyperlink r:id="rId1" location="tab-2" ref="C6"/>
    <hyperlink r:id="rId2" ref="C7"/>
    <hyperlink r:id="rId3" ref="C8"/>
    <hyperlink r:id="rId4" ref="C9"/>
    <hyperlink r:id="rId5" ref="C10"/>
    <hyperlink r:id="rId6" ref="C15"/>
    <hyperlink r:id="rId7" ref="C16"/>
    <hyperlink r:id="rId8" ref="C17"/>
  </hyperlinks>
  <printOptions/>
  <pageMargins bottom="0.75" footer="0.0" header="0.0" left="0.7" right="0.7" top="0.75"/>
  <pageSetup paperSize="9" orientation="portrait"/>
  <drawing r:id="rId9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44"/>
    <col customWidth="1" min="2" max="2" width="6.44"/>
    <col customWidth="1" min="3" max="3" width="20.78"/>
    <col customWidth="1" min="4" max="4" width="7.78"/>
    <col customWidth="1" min="5" max="5" width="13.67"/>
    <col customWidth="1" min="6" max="6" width="14.44"/>
    <col customWidth="1" min="7" max="7" width="10.67"/>
    <col customWidth="1" min="8" max="8" width="8.33"/>
    <col customWidth="1" min="9" max="9" width="7.78"/>
    <col customWidth="1" min="10" max="26" width="10.56"/>
  </cols>
  <sheetData>
    <row r="1" ht="12.0" customHeight="1">
      <c r="A1" s="100" t="s">
        <v>309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 ht="12.0" customHeight="1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</row>
    <row r="3" ht="12.0" customHeight="1">
      <c r="A3" s="102" t="s">
        <v>310</v>
      </c>
      <c r="B3" s="102" t="s">
        <v>311</v>
      </c>
      <c r="C3" s="102" t="s">
        <v>312</v>
      </c>
      <c r="D3" s="102" t="s">
        <v>313</v>
      </c>
      <c r="E3" s="102" t="s">
        <v>314</v>
      </c>
      <c r="F3" s="102" t="s">
        <v>315</v>
      </c>
      <c r="G3" s="102" t="s">
        <v>316</v>
      </c>
      <c r="H3" s="102" t="s">
        <v>317</v>
      </c>
      <c r="I3" s="102" t="s">
        <v>233</v>
      </c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</row>
    <row r="4" ht="12.0" hidden="1" customHeight="1">
      <c r="A4" s="103" t="s">
        <v>318</v>
      </c>
      <c r="B4" s="103" t="s">
        <v>319</v>
      </c>
      <c r="C4" s="103" t="s">
        <v>320</v>
      </c>
      <c r="D4" s="103" t="s">
        <v>321</v>
      </c>
      <c r="E4" s="103" t="s">
        <v>322</v>
      </c>
      <c r="F4" s="104">
        <v>58.85</v>
      </c>
      <c r="G4" s="103" t="s">
        <v>323</v>
      </c>
      <c r="H4" s="103" t="s">
        <v>322</v>
      </c>
      <c r="I4" s="105">
        <v>40.0</v>
      </c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</row>
    <row r="5" ht="12.0" hidden="1" customHeight="1">
      <c r="A5" s="103" t="s">
        <v>318</v>
      </c>
      <c r="B5" s="103" t="s">
        <v>319</v>
      </c>
      <c r="C5" s="103" t="s">
        <v>320</v>
      </c>
      <c r="D5" s="103" t="s">
        <v>324</v>
      </c>
      <c r="E5" s="103" t="s">
        <v>322</v>
      </c>
      <c r="F5" s="104">
        <v>58.41</v>
      </c>
      <c r="G5" s="103" t="s">
        <v>323</v>
      </c>
      <c r="H5" s="103" t="s">
        <v>322</v>
      </c>
      <c r="I5" s="105">
        <v>40.0</v>
      </c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</row>
    <row r="6" ht="12.0" hidden="1" customHeight="1">
      <c r="A6" s="103" t="s">
        <v>318</v>
      </c>
      <c r="B6" s="103" t="s">
        <v>319</v>
      </c>
      <c r="C6" s="103" t="s">
        <v>320</v>
      </c>
      <c r="D6" s="103" t="s">
        <v>325</v>
      </c>
      <c r="E6" s="103" t="s">
        <v>322</v>
      </c>
      <c r="F6" s="104">
        <v>101.64</v>
      </c>
      <c r="G6" s="103" t="s">
        <v>323</v>
      </c>
      <c r="H6" s="103" t="s">
        <v>322</v>
      </c>
      <c r="I6" s="105">
        <v>70.0</v>
      </c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</row>
    <row r="7" ht="12.0" hidden="1" customHeight="1">
      <c r="A7" s="103" t="s">
        <v>318</v>
      </c>
      <c r="B7" s="103" t="s">
        <v>319</v>
      </c>
      <c r="C7" s="103" t="s">
        <v>320</v>
      </c>
      <c r="D7" s="103" t="s">
        <v>326</v>
      </c>
      <c r="E7" s="103" t="s">
        <v>322</v>
      </c>
      <c r="F7" s="104">
        <v>58.41</v>
      </c>
      <c r="G7" s="103" t="s">
        <v>323</v>
      </c>
      <c r="H7" s="103" t="s">
        <v>322</v>
      </c>
      <c r="I7" s="105">
        <v>36.0</v>
      </c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</row>
    <row r="8" ht="12.0" hidden="1" customHeight="1">
      <c r="A8" s="103" t="s">
        <v>318</v>
      </c>
      <c r="B8" s="103" t="s">
        <v>319</v>
      </c>
      <c r="C8" s="103" t="s">
        <v>320</v>
      </c>
      <c r="D8" s="103" t="s">
        <v>327</v>
      </c>
      <c r="E8" s="103" t="s">
        <v>322</v>
      </c>
      <c r="F8" s="104">
        <v>58.41</v>
      </c>
      <c r="G8" s="103" t="s">
        <v>323</v>
      </c>
      <c r="H8" s="103" t="s">
        <v>322</v>
      </c>
      <c r="I8" s="105">
        <v>36.0</v>
      </c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</row>
    <row r="9" ht="12.0" hidden="1" customHeight="1">
      <c r="A9" s="103" t="s">
        <v>318</v>
      </c>
      <c r="B9" s="103" t="s">
        <v>319</v>
      </c>
      <c r="C9" s="103" t="s">
        <v>320</v>
      </c>
      <c r="D9" s="103" t="s">
        <v>328</v>
      </c>
      <c r="E9" s="103" t="s">
        <v>322</v>
      </c>
      <c r="F9" s="104">
        <v>58.41</v>
      </c>
      <c r="G9" s="103" t="s">
        <v>323</v>
      </c>
      <c r="H9" s="103" t="s">
        <v>322</v>
      </c>
      <c r="I9" s="105">
        <v>36.0</v>
      </c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</row>
    <row r="10" ht="12.0" hidden="1" customHeight="1">
      <c r="A10" s="103" t="s">
        <v>329</v>
      </c>
      <c r="B10" s="103" t="s">
        <v>330</v>
      </c>
      <c r="C10" s="103" t="s">
        <v>331</v>
      </c>
      <c r="D10" s="103" t="s">
        <v>332</v>
      </c>
      <c r="E10" s="103" t="s">
        <v>322</v>
      </c>
      <c r="F10" s="104">
        <v>59.25</v>
      </c>
      <c r="G10" s="103" t="s">
        <v>323</v>
      </c>
      <c r="H10" s="103" t="s">
        <v>322</v>
      </c>
      <c r="I10" s="105">
        <v>38.0</v>
      </c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</row>
    <row r="11" ht="12.0" hidden="1" customHeight="1">
      <c r="A11" s="103" t="s">
        <v>329</v>
      </c>
      <c r="B11" s="103" t="s">
        <v>330</v>
      </c>
      <c r="C11" s="103" t="s">
        <v>331</v>
      </c>
      <c r="D11" s="103" t="s">
        <v>333</v>
      </c>
      <c r="E11" s="103" t="s">
        <v>334</v>
      </c>
      <c r="F11" s="104">
        <v>60.14</v>
      </c>
      <c r="G11" s="103" t="s">
        <v>323</v>
      </c>
      <c r="H11" s="103" t="s">
        <v>322</v>
      </c>
      <c r="I11" s="105">
        <v>36.0</v>
      </c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</row>
    <row r="12" ht="12.0" hidden="1" customHeight="1">
      <c r="A12" s="103" t="s">
        <v>329</v>
      </c>
      <c r="B12" s="103" t="s">
        <v>330</v>
      </c>
      <c r="C12" s="103" t="s">
        <v>331</v>
      </c>
      <c r="D12" s="103" t="s">
        <v>335</v>
      </c>
      <c r="E12" s="103" t="s">
        <v>334</v>
      </c>
      <c r="F12" s="104">
        <v>51.32</v>
      </c>
      <c r="G12" s="103" t="s">
        <v>323</v>
      </c>
      <c r="H12" s="103" t="s">
        <v>322</v>
      </c>
      <c r="I12" s="105">
        <v>25.0</v>
      </c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</row>
    <row r="13" ht="12.0" hidden="1" customHeight="1">
      <c r="A13" s="103" t="s">
        <v>329</v>
      </c>
      <c r="B13" s="103" t="s">
        <v>330</v>
      </c>
      <c r="C13" s="103" t="s">
        <v>331</v>
      </c>
      <c r="D13" s="103" t="s">
        <v>324</v>
      </c>
      <c r="E13" s="103" t="s">
        <v>334</v>
      </c>
      <c r="F13" s="104">
        <v>52.09</v>
      </c>
      <c r="G13" s="103" t="s">
        <v>323</v>
      </c>
      <c r="H13" s="103" t="s">
        <v>322</v>
      </c>
      <c r="I13" s="105">
        <v>25.0</v>
      </c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</row>
    <row r="14" ht="12.0" hidden="1" customHeight="1">
      <c r="A14" s="103" t="s">
        <v>329</v>
      </c>
      <c r="B14" s="103" t="s">
        <v>330</v>
      </c>
      <c r="C14" s="103" t="s">
        <v>331</v>
      </c>
      <c r="D14" s="103" t="s">
        <v>336</v>
      </c>
      <c r="E14" s="103" t="s">
        <v>334</v>
      </c>
      <c r="F14" s="104">
        <v>52.09</v>
      </c>
      <c r="G14" s="103" t="s">
        <v>323</v>
      </c>
      <c r="H14" s="103" t="s">
        <v>322</v>
      </c>
      <c r="I14" s="105">
        <v>25.0</v>
      </c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</row>
    <row r="15" ht="12.0" hidden="1" customHeight="1">
      <c r="A15" s="103" t="s">
        <v>329</v>
      </c>
      <c r="B15" s="103" t="s">
        <v>330</v>
      </c>
      <c r="C15" s="103" t="s">
        <v>331</v>
      </c>
      <c r="D15" s="103" t="s">
        <v>337</v>
      </c>
      <c r="E15" s="103" t="s">
        <v>334</v>
      </c>
      <c r="F15" s="104">
        <v>51.31</v>
      </c>
      <c r="G15" s="103" t="s">
        <v>323</v>
      </c>
      <c r="H15" s="103" t="s">
        <v>322</v>
      </c>
      <c r="I15" s="105">
        <v>25.0</v>
      </c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</row>
    <row r="16" ht="12.0" hidden="1" customHeight="1">
      <c r="A16" s="103" t="s">
        <v>329</v>
      </c>
      <c r="B16" s="103" t="s">
        <v>330</v>
      </c>
      <c r="C16" s="103" t="s">
        <v>331</v>
      </c>
      <c r="D16" s="103" t="s">
        <v>338</v>
      </c>
      <c r="E16" s="103" t="s">
        <v>334</v>
      </c>
      <c r="F16" s="104">
        <v>51.32</v>
      </c>
      <c r="G16" s="103" t="s">
        <v>323</v>
      </c>
      <c r="H16" s="103" t="s">
        <v>322</v>
      </c>
      <c r="I16" s="105">
        <v>25.0</v>
      </c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</row>
    <row r="17" ht="12.0" hidden="1" customHeight="1">
      <c r="A17" s="103" t="s">
        <v>329</v>
      </c>
      <c r="B17" s="103" t="s">
        <v>330</v>
      </c>
      <c r="C17" s="103" t="s">
        <v>331</v>
      </c>
      <c r="D17" s="103" t="s">
        <v>321</v>
      </c>
      <c r="E17" s="103" t="s">
        <v>334</v>
      </c>
      <c r="F17" s="104">
        <v>52.48</v>
      </c>
      <c r="G17" s="103" t="s">
        <v>323</v>
      </c>
      <c r="H17" s="103" t="s">
        <v>322</v>
      </c>
      <c r="I17" s="105">
        <v>25.0</v>
      </c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</row>
    <row r="18" ht="12.0" hidden="1" customHeight="1">
      <c r="A18" s="103" t="s">
        <v>339</v>
      </c>
      <c r="B18" s="103" t="s">
        <v>340</v>
      </c>
      <c r="C18" s="103" t="s">
        <v>341</v>
      </c>
      <c r="D18" s="103" t="s">
        <v>342</v>
      </c>
      <c r="E18" s="103" t="s">
        <v>334</v>
      </c>
      <c r="F18" s="104">
        <v>75.74</v>
      </c>
      <c r="G18" s="103" t="s">
        <v>323</v>
      </c>
      <c r="H18" s="103" t="s">
        <v>322</v>
      </c>
      <c r="I18" s="105">
        <v>45.0</v>
      </c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</row>
    <row r="19" ht="12.0" hidden="1" customHeight="1">
      <c r="A19" s="103" t="s">
        <v>339</v>
      </c>
      <c r="B19" s="103" t="s">
        <v>340</v>
      </c>
      <c r="C19" s="103" t="s">
        <v>341</v>
      </c>
      <c r="D19" s="103" t="s">
        <v>343</v>
      </c>
      <c r="E19" s="103" t="s">
        <v>344</v>
      </c>
      <c r="F19" s="104">
        <v>75.74</v>
      </c>
      <c r="G19" s="103" t="s">
        <v>323</v>
      </c>
      <c r="H19" s="103" t="s">
        <v>322</v>
      </c>
      <c r="I19" s="105">
        <v>20.0</v>
      </c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</row>
    <row r="20" ht="12.0" hidden="1" customHeight="1">
      <c r="A20" s="103" t="s">
        <v>339</v>
      </c>
      <c r="B20" s="103" t="s">
        <v>340</v>
      </c>
      <c r="C20" s="103" t="s">
        <v>341</v>
      </c>
      <c r="D20" s="103" t="s">
        <v>324</v>
      </c>
      <c r="E20" s="103" t="s">
        <v>345</v>
      </c>
      <c r="F20" s="104">
        <v>102.13</v>
      </c>
      <c r="G20" s="103" t="s">
        <v>323</v>
      </c>
      <c r="H20" s="103" t="s">
        <v>322</v>
      </c>
      <c r="I20" s="105">
        <v>68.0</v>
      </c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</row>
    <row r="21" ht="12.0" hidden="1" customHeight="1">
      <c r="A21" s="103" t="s">
        <v>339</v>
      </c>
      <c r="B21" s="103" t="s">
        <v>340</v>
      </c>
      <c r="C21" s="103" t="s">
        <v>341</v>
      </c>
      <c r="D21" s="103" t="s">
        <v>336</v>
      </c>
      <c r="E21" s="103" t="s">
        <v>322</v>
      </c>
      <c r="F21" s="104">
        <v>58.41</v>
      </c>
      <c r="G21" s="103" t="s">
        <v>323</v>
      </c>
      <c r="H21" s="103" t="s">
        <v>322</v>
      </c>
      <c r="I21" s="105">
        <v>35.0</v>
      </c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</row>
    <row r="22" ht="12.0" hidden="1" customHeight="1">
      <c r="A22" s="103" t="s">
        <v>339</v>
      </c>
      <c r="B22" s="103" t="s">
        <v>340</v>
      </c>
      <c r="C22" s="103" t="s">
        <v>341</v>
      </c>
      <c r="D22" s="103" t="s">
        <v>333</v>
      </c>
      <c r="E22" s="103" t="s">
        <v>322</v>
      </c>
      <c r="F22" s="104">
        <v>58.41</v>
      </c>
      <c r="G22" s="103" t="s">
        <v>323</v>
      </c>
      <c r="H22" s="103" t="s">
        <v>322</v>
      </c>
      <c r="I22" s="105">
        <v>35.0</v>
      </c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</row>
    <row r="23" ht="12.0" hidden="1" customHeight="1">
      <c r="A23" s="103" t="s">
        <v>339</v>
      </c>
      <c r="B23" s="103" t="s">
        <v>340</v>
      </c>
      <c r="C23" s="103" t="s">
        <v>341</v>
      </c>
      <c r="D23" s="103" t="s">
        <v>346</v>
      </c>
      <c r="E23" s="103" t="s">
        <v>322</v>
      </c>
      <c r="F23" s="104">
        <v>58.41</v>
      </c>
      <c r="G23" s="103" t="s">
        <v>323</v>
      </c>
      <c r="H23" s="103" t="s">
        <v>322</v>
      </c>
      <c r="I23" s="105">
        <v>35.0</v>
      </c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</row>
    <row r="24" ht="12.0" hidden="1" customHeight="1">
      <c r="A24" s="103" t="s">
        <v>339</v>
      </c>
      <c r="B24" s="103" t="s">
        <v>340</v>
      </c>
      <c r="C24" s="103" t="s">
        <v>341</v>
      </c>
      <c r="D24" s="103" t="s">
        <v>347</v>
      </c>
      <c r="E24" s="103" t="s">
        <v>322</v>
      </c>
      <c r="F24" s="104">
        <v>58.41</v>
      </c>
      <c r="G24" s="103" t="s">
        <v>323</v>
      </c>
      <c r="H24" s="103" t="s">
        <v>322</v>
      </c>
      <c r="I24" s="105">
        <v>35.0</v>
      </c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</row>
    <row r="25" ht="12.0" hidden="1" customHeight="1">
      <c r="A25" s="103" t="s">
        <v>339</v>
      </c>
      <c r="B25" s="103" t="s">
        <v>340</v>
      </c>
      <c r="C25" s="103" t="s">
        <v>341</v>
      </c>
      <c r="D25" s="103" t="s">
        <v>325</v>
      </c>
      <c r="E25" s="103" t="s">
        <v>348</v>
      </c>
      <c r="F25" s="104">
        <v>58.41</v>
      </c>
      <c r="G25" s="103" t="s">
        <v>323</v>
      </c>
      <c r="H25" s="103" t="s">
        <v>322</v>
      </c>
      <c r="I25" s="105">
        <v>35.0</v>
      </c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</row>
    <row r="26" ht="12.0" hidden="1" customHeight="1">
      <c r="A26" s="103" t="s">
        <v>339</v>
      </c>
      <c r="B26" s="103" t="s">
        <v>340</v>
      </c>
      <c r="C26" s="103" t="s">
        <v>341</v>
      </c>
      <c r="D26" s="103" t="s">
        <v>338</v>
      </c>
      <c r="E26" s="103" t="s">
        <v>334</v>
      </c>
      <c r="F26" s="104">
        <v>38.94</v>
      </c>
      <c r="G26" s="103" t="s">
        <v>323</v>
      </c>
      <c r="H26" s="103" t="s">
        <v>322</v>
      </c>
      <c r="I26" s="105">
        <v>15.0</v>
      </c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</row>
    <row r="27" ht="12.0" hidden="1" customHeight="1">
      <c r="A27" s="103" t="s">
        <v>339</v>
      </c>
      <c r="B27" s="103" t="s">
        <v>340</v>
      </c>
      <c r="C27" s="103" t="s">
        <v>341</v>
      </c>
      <c r="D27" s="103" t="s">
        <v>349</v>
      </c>
      <c r="E27" s="103" t="s">
        <v>334</v>
      </c>
      <c r="F27" s="104">
        <v>58.41</v>
      </c>
      <c r="G27" s="103" t="s">
        <v>323</v>
      </c>
      <c r="H27" s="103" t="s">
        <v>322</v>
      </c>
      <c r="I27" s="105">
        <v>35.0</v>
      </c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</row>
    <row r="28" ht="12.0" hidden="1" customHeight="1">
      <c r="A28" s="103" t="s">
        <v>339</v>
      </c>
      <c r="B28" s="103" t="s">
        <v>340</v>
      </c>
      <c r="C28" s="103" t="s">
        <v>341</v>
      </c>
      <c r="D28" s="103" t="s">
        <v>350</v>
      </c>
      <c r="E28" s="103" t="s">
        <v>334</v>
      </c>
      <c r="F28" s="104">
        <v>75.74</v>
      </c>
      <c r="G28" s="103" t="s">
        <v>323</v>
      </c>
      <c r="H28" s="103" t="s">
        <v>322</v>
      </c>
      <c r="I28" s="105">
        <v>45.0</v>
      </c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</row>
    <row r="29" ht="12.0" customHeight="1">
      <c r="A29" s="103" t="s">
        <v>351</v>
      </c>
      <c r="B29" s="103" t="s">
        <v>352</v>
      </c>
      <c r="C29" s="103" t="s">
        <v>353</v>
      </c>
      <c r="D29" s="103" t="s">
        <v>354</v>
      </c>
      <c r="E29" s="103" t="s">
        <v>355</v>
      </c>
      <c r="F29" s="104">
        <v>59.22</v>
      </c>
      <c r="G29" s="103" t="s">
        <v>323</v>
      </c>
      <c r="H29" s="103" t="s">
        <v>322</v>
      </c>
      <c r="I29" s="105">
        <v>21.0</v>
      </c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</row>
    <row r="30" ht="12.0" customHeight="1">
      <c r="A30" s="103" t="s">
        <v>351</v>
      </c>
      <c r="B30" s="103" t="s">
        <v>352</v>
      </c>
      <c r="C30" s="103" t="s">
        <v>353</v>
      </c>
      <c r="D30" s="103" t="s">
        <v>356</v>
      </c>
      <c r="E30" s="103" t="s">
        <v>299</v>
      </c>
      <c r="F30" s="104">
        <v>166.27</v>
      </c>
      <c r="G30" s="103" t="s">
        <v>323</v>
      </c>
      <c r="H30" s="103" t="s">
        <v>322</v>
      </c>
      <c r="I30" s="105">
        <v>67.0</v>
      </c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</row>
    <row r="31" ht="12.0" customHeight="1">
      <c r="A31" s="103" t="s">
        <v>351</v>
      </c>
      <c r="B31" s="103" t="s">
        <v>352</v>
      </c>
      <c r="C31" s="103" t="s">
        <v>353</v>
      </c>
      <c r="D31" s="103" t="s">
        <v>357</v>
      </c>
      <c r="E31" s="103" t="s">
        <v>358</v>
      </c>
      <c r="F31" s="104">
        <v>93.77</v>
      </c>
      <c r="G31" s="103" t="s">
        <v>323</v>
      </c>
      <c r="H31" s="103" t="s">
        <v>322</v>
      </c>
      <c r="I31" s="105">
        <v>24.0</v>
      </c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</row>
    <row r="32" ht="12.0" customHeight="1">
      <c r="A32" s="103" t="s">
        <v>351</v>
      </c>
      <c r="B32" s="103" t="s">
        <v>352</v>
      </c>
      <c r="C32" s="103" t="s">
        <v>353</v>
      </c>
      <c r="D32" s="103" t="s">
        <v>359</v>
      </c>
      <c r="E32" s="103" t="s">
        <v>334</v>
      </c>
      <c r="F32" s="104">
        <v>93.29</v>
      </c>
      <c r="G32" s="103" t="s">
        <v>323</v>
      </c>
      <c r="H32" s="103" t="s">
        <v>322</v>
      </c>
      <c r="I32" s="105">
        <v>16.0</v>
      </c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</row>
    <row r="33" ht="12.0" customHeight="1">
      <c r="A33" s="103" t="s">
        <v>351</v>
      </c>
      <c r="B33" s="103" t="s">
        <v>352</v>
      </c>
      <c r="C33" s="103" t="s">
        <v>353</v>
      </c>
      <c r="D33" s="103" t="s">
        <v>360</v>
      </c>
      <c r="E33" s="103" t="s">
        <v>361</v>
      </c>
      <c r="F33" s="104">
        <v>115.88</v>
      </c>
      <c r="G33" s="103" t="s">
        <v>323</v>
      </c>
      <c r="H33" s="103" t="s">
        <v>322</v>
      </c>
      <c r="I33" s="105">
        <v>64.0</v>
      </c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</row>
    <row r="34" ht="12.0" hidden="1" customHeight="1">
      <c r="A34" s="103" t="s">
        <v>362</v>
      </c>
      <c r="B34" s="103" t="s">
        <v>363</v>
      </c>
      <c r="C34" s="103" t="s">
        <v>364</v>
      </c>
      <c r="D34" s="103" t="s">
        <v>365</v>
      </c>
      <c r="E34" s="103" t="s">
        <v>334</v>
      </c>
      <c r="F34" s="104">
        <v>54.6</v>
      </c>
      <c r="G34" s="103" t="s">
        <v>323</v>
      </c>
      <c r="H34" s="103" t="s">
        <v>322</v>
      </c>
      <c r="I34" s="105">
        <v>20.0</v>
      </c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</row>
    <row r="35" ht="12.0" hidden="1" customHeight="1">
      <c r="A35" s="103" t="s">
        <v>362</v>
      </c>
      <c r="B35" s="103" t="s">
        <v>363</v>
      </c>
      <c r="C35" s="103" t="s">
        <v>364</v>
      </c>
      <c r="D35" s="103" t="s">
        <v>366</v>
      </c>
      <c r="E35" s="103" t="s">
        <v>322</v>
      </c>
      <c r="F35" s="104">
        <v>51.32</v>
      </c>
      <c r="G35" s="103" t="s">
        <v>323</v>
      </c>
      <c r="H35" s="103" t="s">
        <v>322</v>
      </c>
      <c r="I35" s="105">
        <v>30.0</v>
      </c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</row>
    <row r="36" ht="12.0" hidden="1" customHeight="1">
      <c r="A36" s="103" t="s">
        <v>362</v>
      </c>
      <c r="B36" s="103" t="s">
        <v>363</v>
      </c>
      <c r="C36" s="103" t="s">
        <v>364</v>
      </c>
      <c r="D36" s="103" t="s">
        <v>335</v>
      </c>
      <c r="E36" s="103" t="s">
        <v>334</v>
      </c>
      <c r="F36" s="104">
        <v>44.44</v>
      </c>
      <c r="G36" s="103" t="s">
        <v>323</v>
      </c>
      <c r="H36" s="103" t="s">
        <v>322</v>
      </c>
      <c r="I36" s="105">
        <v>20.0</v>
      </c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</row>
    <row r="37" ht="12.0" hidden="1" customHeight="1">
      <c r="A37" s="103" t="s">
        <v>362</v>
      </c>
      <c r="B37" s="103" t="s">
        <v>363</v>
      </c>
      <c r="C37" s="103" t="s">
        <v>364</v>
      </c>
      <c r="D37" s="103" t="s">
        <v>367</v>
      </c>
      <c r="E37" s="103" t="s">
        <v>334</v>
      </c>
      <c r="F37" s="104">
        <v>59.15</v>
      </c>
      <c r="G37" s="103" t="s">
        <v>323</v>
      </c>
      <c r="H37" s="103" t="s">
        <v>322</v>
      </c>
      <c r="I37" s="105">
        <v>20.0</v>
      </c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</row>
    <row r="38" ht="12.0" hidden="1" customHeight="1">
      <c r="A38" s="103" t="s">
        <v>362</v>
      </c>
      <c r="B38" s="103" t="s">
        <v>363</v>
      </c>
      <c r="C38" s="103" t="s">
        <v>364</v>
      </c>
      <c r="D38" s="103" t="s">
        <v>368</v>
      </c>
      <c r="E38" s="103" t="s">
        <v>334</v>
      </c>
      <c r="F38" s="104">
        <v>76.97</v>
      </c>
      <c r="G38" s="103" t="s">
        <v>323</v>
      </c>
      <c r="H38" s="103" t="s">
        <v>322</v>
      </c>
      <c r="I38" s="105">
        <v>50.0</v>
      </c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</row>
    <row r="39" ht="12.0" hidden="1" customHeight="1">
      <c r="A39" s="103" t="s">
        <v>362</v>
      </c>
      <c r="B39" s="103" t="s">
        <v>363</v>
      </c>
      <c r="C39" s="103" t="s">
        <v>364</v>
      </c>
      <c r="D39" s="103" t="s">
        <v>359</v>
      </c>
      <c r="E39" s="103" t="s">
        <v>322</v>
      </c>
      <c r="F39" s="104">
        <v>51.32</v>
      </c>
      <c r="G39" s="103" t="s">
        <v>323</v>
      </c>
      <c r="H39" s="103" t="s">
        <v>322</v>
      </c>
      <c r="I39" s="105">
        <v>30.0</v>
      </c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</row>
    <row r="40" ht="12.0" hidden="1" customHeight="1">
      <c r="A40" s="103" t="s">
        <v>362</v>
      </c>
      <c r="B40" s="103" t="s">
        <v>363</v>
      </c>
      <c r="C40" s="103" t="s">
        <v>364</v>
      </c>
      <c r="D40" s="103" t="s">
        <v>369</v>
      </c>
      <c r="E40" s="103" t="s">
        <v>322</v>
      </c>
      <c r="F40" s="104">
        <v>76.97</v>
      </c>
      <c r="G40" s="103" t="s">
        <v>323</v>
      </c>
      <c r="H40" s="103" t="s">
        <v>322</v>
      </c>
      <c r="I40" s="105">
        <v>55.0</v>
      </c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</row>
    <row r="41" ht="12.0" hidden="1" customHeight="1">
      <c r="A41" s="103" t="s">
        <v>362</v>
      </c>
      <c r="B41" s="103" t="s">
        <v>363</v>
      </c>
      <c r="C41" s="103" t="s">
        <v>364</v>
      </c>
      <c r="D41" s="103" t="s">
        <v>370</v>
      </c>
      <c r="E41" s="103" t="s">
        <v>334</v>
      </c>
      <c r="F41" s="104">
        <v>76.97</v>
      </c>
      <c r="G41" s="103" t="s">
        <v>323</v>
      </c>
      <c r="H41" s="103" t="s">
        <v>322</v>
      </c>
      <c r="I41" s="105">
        <v>50.0</v>
      </c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</row>
    <row r="42" ht="12.0" hidden="1" customHeight="1">
      <c r="A42" s="103" t="s">
        <v>362</v>
      </c>
      <c r="B42" s="103" t="s">
        <v>363</v>
      </c>
      <c r="C42" s="103" t="s">
        <v>364</v>
      </c>
      <c r="D42" s="103" t="s">
        <v>371</v>
      </c>
      <c r="E42" s="103" t="s">
        <v>322</v>
      </c>
      <c r="F42" s="104">
        <v>76.97</v>
      </c>
      <c r="G42" s="103" t="s">
        <v>323</v>
      </c>
      <c r="H42" s="103" t="s">
        <v>322</v>
      </c>
      <c r="I42" s="105">
        <v>53.0</v>
      </c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</row>
    <row r="43" ht="12.0" hidden="1" customHeight="1">
      <c r="A43" s="103" t="s">
        <v>372</v>
      </c>
      <c r="B43" s="103" t="s">
        <v>373</v>
      </c>
      <c r="C43" s="103" t="s">
        <v>374</v>
      </c>
      <c r="D43" s="103" t="s">
        <v>325</v>
      </c>
      <c r="E43" s="103" t="s">
        <v>322</v>
      </c>
      <c r="F43" s="104">
        <v>100.98</v>
      </c>
      <c r="G43" s="103" t="s">
        <v>323</v>
      </c>
      <c r="H43" s="103" t="s">
        <v>322</v>
      </c>
      <c r="I43" s="105">
        <v>78.0</v>
      </c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</row>
    <row r="44" ht="12.0" hidden="1" customHeight="1">
      <c r="A44" s="103" t="s">
        <v>372</v>
      </c>
      <c r="B44" s="103" t="s">
        <v>373</v>
      </c>
      <c r="C44" s="103" t="s">
        <v>374</v>
      </c>
      <c r="D44" s="103" t="s">
        <v>338</v>
      </c>
      <c r="E44" s="103" t="s">
        <v>375</v>
      </c>
      <c r="F44" s="104">
        <v>75.74</v>
      </c>
      <c r="G44" s="103" t="s">
        <v>323</v>
      </c>
      <c r="H44" s="103" t="s">
        <v>322</v>
      </c>
      <c r="I44" s="105">
        <v>55.0</v>
      </c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</row>
    <row r="45" ht="12.0" hidden="1" customHeight="1">
      <c r="A45" s="103" t="s">
        <v>372</v>
      </c>
      <c r="B45" s="103" t="s">
        <v>373</v>
      </c>
      <c r="C45" s="103" t="s">
        <v>374</v>
      </c>
      <c r="D45" s="103" t="s">
        <v>333</v>
      </c>
      <c r="E45" s="103" t="s">
        <v>322</v>
      </c>
      <c r="F45" s="104">
        <v>75.74</v>
      </c>
      <c r="G45" s="103" t="s">
        <v>323</v>
      </c>
      <c r="H45" s="103" t="s">
        <v>322</v>
      </c>
      <c r="I45" s="105">
        <v>55.0</v>
      </c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</row>
    <row r="46" ht="12.0" hidden="1" customHeight="1">
      <c r="A46" s="103" t="s">
        <v>372</v>
      </c>
      <c r="B46" s="103" t="s">
        <v>373</v>
      </c>
      <c r="C46" s="103" t="s">
        <v>374</v>
      </c>
      <c r="D46" s="103" t="s">
        <v>347</v>
      </c>
      <c r="E46" s="103" t="s">
        <v>376</v>
      </c>
      <c r="F46" s="104">
        <v>59.9</v>
      </c>
      <c r="G46" s="103" t="s">
        <v>323</v>
      </c>
      <c r="H46" s="103" t="s">
        <v>322</v>
      </c>
      <c r="I46" s="105">
        <v>20.0</v>
      </c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</row>
    <row r="47" ht="12.0" hidden="1" customHeight="1">
      <c r="A47" s="103" t="s">
        <v>377</v>
      </c>
      <c r="B47" s="103" t="s">
        <v>378</v>
      </c>
      <c r="C47" s="103" t="s">
        <v>379</v>
      </c>
      <c r="D47" s="103" t="s">
        <v>380</v>
      </c>
      <c r="E47" s="103" t="s">
        <v>322</v>
      </c>
      <c r="F47" s="104">
        <v>102.86</v>
      </c>
      <c r="G47" s="103" t="s">
        <v>323</v>
      </c>
      <c r="H47" s="103" t="s">
        <v>322</v>
      </c>
      <c r="I47" s="105">
        <v>50.0</v>
      </c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</row>
    <row r="48" ht="12.0" hidden="1" customHeight="1">
      <c r="A48" s="103" t="s">
        <v>377</v>
      </c>
      <c r="B48" s="103" t="s">
        <v>378</v>
      </c>
      <c r="C48" s="103" t="s">
        <v>379</v>
      </c>
      <c r="D48" s="103" t="s">
        <v>381</v>
      </c>
      <c r="E48" s="103" t="s">
        <v>322</v>
      </c>
      <c r="F48" s="104">
        <v>89.45</v>
      </c>
      <c r="G48" s="103" t="s">
        <v>323</v>
      </c>
      <c r="H48" s="103" t="s">
        <v>322</v>
      </c>
      <c r="I48" s="105">
        <v>62.0</v>
      </c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</row>
    <row r="49" ht="12.0" hidden="1" customHeight="1">
      <c r="A49" s="103" t="s">
        <v>377</v>
      </c>
      <c r="B49" s="103" t="s">
        <v>378</v>
      </c>
      <c r="C49" s="103" t="s">
        <v>379</v>
      </c>
      <c r="D49" s="103" t="s">
        <v>359</v>
      </c>
      <c r="E49" s="103" t="s">
        <v>322</v>
      </c>
      <c r="F49" s="104">
        <v>58.95</v>
      </c>
      <c r="G49" s="103" t="s">
        <v>323</v>
      </c>
      <c r="H49" s="103" t="s">
        <v>322</v>
      </c>
      <c r="I49" s="105">
        <v>44.0</v>
      </c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</row>
    <row r="50" ht="12.0" hidden="1" customHeight="1">
      <c r="A50" s="103" t="s">
        <v>377</v>
      </c>
      <c r="B50" s="103" t="s">
        <v>378</v>
      </c>
      <c r="C50" s="103" t="s">
        <v>379</v>
      </c>
      <c r="D50" s="103" t="s">
        <v>324</v>
      </c>
      <c r="E50" s="103" t="s">
        <v>322</v>
      </c>
      <c r="F50" s="104">
        <v>117.55</v>
      </c>
      <c r="G50" s="103" t="s">
        <v>323</v>
      </c>
      <c r="H50" s="103" t="s">
        <v>322</v>
      </c>
      <c r="I50" s="105">
        <v>85.0</v>
      </c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</row>
    <row r="51" ht="12.0" hidden="1" customHeight="1">
      <c r="A51" s="103" t="s">
        <v>377</v>
      </c>
      <c r="B51" s="103" t="s">
        <v>378</v>
      </c>
      <c r="C51" s="103" t="s">
        <v>379</v>
      </c>
      <c r="D51" s="103" t="s">
        <v>321</v>
      </c>
      <c r="E51" s="103" t="s">
        <v>322</v>
      </c>
      <c r="F51" s="104">
        <v>118.79</v>
      </c>
      <c r="G51" s="103" t="s">
        <v>323</v>
      </c>
      <c r="H51" s="103" t="s">
        <v>322</v>
      </c>
      <c r="I51" s="105">
        <v>85.0</v>
      </c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</row>
    <row r="52" ht="12.0" hidden="1" customHeight="1">
      <c r="A52" s="103" t="s">
        <v>377</v>
      </c>
      <c r="B52" s="103" t="s">
        <v>378</v>
      </c>
      <c r="C52" s="103" t="s">
        <v>379</v>
      </c>
      <c r="D52" s="103" t="s">
        <v>333</v>
      </c>
      <c r="E52" s="103" t="s">
        <v>322</v>
      </c>
      <c r="F52" s="104">
        <v>177.61</v>
      </c>
      <c r="G52" s="103" t="s">
        <v>323</v>
      </c>
      <c r="H52" s="103" t="s">
        <v>322</v>
      </c>
      <c r="I52" s="105">
        <v>100.0</v>
      </c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</row>
    <row r="53" ht="12.0" hidden="1" customHeight="1">
      <c r="A53" s="103" t="s">
        <v>377</v>
      </c>
      <c r="B53" s="103" t="s">
        <v>378</v>
      </c>
      <c r="C53" s="103" t="s">
        <v>379</v>
      </c>
      <c r="D53" s="103" t="s">
        <v>350</v>
      </c>
      <c r="E53" s="103" t="s">
        <v>322</v>
      </c>
      <c r="F53" s="104">
        <v>32.05</v>
      </c>
      <c r="G53" s="103" t="s">
        <v>323</v>
      </c>
      <c r="H53" s="103" t="s">
        <v>322</v>
      </c>
      <c r="I53" s="105">
        <v>16.0</v>
      </c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</row>
    <row r="54" ht="12.0" hidden="1" customHeight="1">
      <c r="A54" s="103" t="s">
        <v>377</v>
      </c>
      <c r="B54" s="103" t="s">
        <v>378</v>
      </c>
      <c r="C54" s="103" t="s">
        <v>379</v>
      </c>
      <c r="D54" s="103" t="s">
        <v>382</v>
      </c>
      <c r="E54" s="103" t="s">
        <v>322</v>
      </c>
      <c r="F54" s="104">
        <v>31.38</v>
      </c>
      <c r="G54" s="103" t="s">
        <v>323</v>
      </c>
      <c r="H54" s="103" t="s">
        <v>322</v>
      </c>
      <c r="I54" s="105">
        <v>16.0</v>
      </c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</row>
    <row r="55" ht="12.0" hidden="1" customHeight="1">
      <c r="A55" s="103" t="s">
        <v>377</v>
      </c>
      <c r="B55" s="103" t="s">
        <v>378</v>
      </c>
      <c r="C55" s="103" t="s">
        <v>379</v>
      </c>
      <c r="D55" s="103" t="s">
        <v>383</v>
      </c>
      <c r="E55" s="103" t="s">
        <v>322</v>
      </c>
      <c r="F55" s="104">
        <v>31.38</v>
      </c>
      <c r="G55" s="103" t="s">
        <v>323</v>
      </c>
      <c r="H55" s="103" t="s">
        <v>322</v>
      </c>
      <c r="I55" s="105">
        <v>16.0</v>
      </c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</row>
    <row r="56" ht="12.0" hidden="1" customHeight="1">
      <c r="A56" s="103" t="s">
        <v>377</v>
      </c>
      <c r="B56" s="103" t="s">
        <v>378</v>
      </c>
      <c r="C56" s="103" t="s">
        <v>379</v>
      </c>
      <c r="D56" s="103" t="s">
        <v>384</v>
      </c>
      <c r="E56" s="103" t="s">
        <v>322</v>
      </c>
      <c r="F56" s="104">
        <v>31.38</v>
      </c>
      <c r="G56" s="103" t="s">
        <v>323</v>
      </c>
      <c r="H56" s="103" t="s">
        <v>322</v>
      </c>
      <c r="I56" s="105">
        <v>16.0</v>
      </c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</row>
    <row r="57" ht="12.0" hidden="1" customHeight="1">
      <c r="A57" s="103" t="s">
        <v>377</v>
      </c>
      <c r="B57" s="103" t="s">
        <v>378</v>
      </c>
      <c r="C57" s="103" t="s">
        <v>379</v>
      </c>
      <c r="D57" s="103" t="s">
        <v>332</v>
      </c>
      <c r="E57" s="103" t="s">
        <v>322</v>
      </c>
      <c r="F57" s="104">
        <v>31.38</v>
      </c>
      <c r="G57" s="103" t="s">
        <v>323</v>
      </c>
      <c r="H57" s="103" t="s">
        <v>322</v>
      </c>
      <c r="I57" s="105">
        <v>16.0</v>
      </c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</row>
    <row r="58" ht="12.0" hidden="1" customHeight="1">
      <c r="A58" s="103" t="s">
        <v>377</v>
      </c>
      <c r="B58" s="103" t="s">
        <v>378</v>
      </c>
      <c r="C58" s="103" t="s">
        <v>379</v>
      </c>
      <c r="D58" s="103" t="s">
        <v>347</v>
      </c>
      <c r="E58" s="103" t="s">
        <v>322</v>
      </c>
      <c r="F58" s="104">
        <v>32.1</v>
      </c>
      <c r="G58" s="103" t="s">
        <v>323</v>
      </c>
      <c r="H58" s="103" t="s">
        <v>322</v>
      </c>
      <c r="I58" s="105">
        <v>16.0</v>
      </c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 ht="12.0" hidden="1" customHeight="1">
      <c r="A59" s="103" t="s">
        <v>377</v>
      </c>
      <c r="B59" s="103" t="s">
        <v>378</v>
      </c>
      <c r="C59" s="103" t="s">
        <v>379</v>
      </c>
      <c r="D59" s="103" t="s">
        <v>349</v>
      </c>
      <c r="E59" s="103" t="s">
        <v>322</v>
      </c>
      <c r="F59" s="104">
        <v>31.38</v>
      </c>
      <c r="G59" s="103" t="s">
        <v>323</v>
      </c>
      <c r="H59" s="103" t="s">
        <v>322</v>
      </c>
      <c r="I59" s="105">
        <v>16.0</v>
      </c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</row>
    <row r="60" ht="12.0" hidden="1" customHeight="1">
      <c r="A60" s="103" t="s">
        <v>377</v>
      </c>
      <c r="B60" s="103" t="s">
        <v>378</v>
      </c>
      <c r="C60" s="103" t="s">
        <v>379</v>
      </c>
      <c r="D60" s="103" t="s">
        <v>385</v>
      </c>
      <c r="E60" s="106" t="s">
        <v>299</v>
      </c>
      <c r="F60" s="104">
        <v>98.11</v>
      </c>
      <c r="G60" s="103" t="s">
        <v>323</v>
      </c>
      <c r="H60" s="103" t="s">
        <v>322</v>
      </c>
      <c r="I60" s="105">
        <v>40.0</v>
      </c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</row>
    <row r="61" ht="12.0" hidden="1" customHeight="1">
      <c r="A61" s="103" t="s">
        <v>386</v>
      </c>
      <c r="B61" s="103" t="s">
        <v>387</v>
      </c>
      <c r="C61" s="103" t="s">
        <v>388</v>
      </c>
      <c r="D61" s="103" t="s">
        <v>389</v>
      </c>
      <c r="E61" s="103" t="s">
        <v>390</v>
      </c>
      <c r="F61" s="104">
        <v>29.14</v>
      </c>
      <c r="G61" s="103" t="s">
        <v>323</v>
      </c>
      <c r="H61" s="103" t="s">
        <v>322</v>
      </c>
      <c r="I61" s="105">
        <v>10.0</v>
      </c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</row>
    <row r="62" ht="12.0" hidden="1" customHeight="1">
      <c r="A62" s="103" t="s">
        <v>386</v>
      </c>
      <c r="B62" s="103" t="s">
        <v>387</v>
      </c>
      <c r="C62" s="103" t="s">
        <v>388</v>
      </c>
      <c r="D62" s="103" t="s">
        <v>391</v>
      </c>
      <c r="E62" s="103" t="s">
        <v>390</v>
      </c>
      <c r="F62" s="104">
        <v>29.23</v>
      </c>
      <c r="G62" s="103" t="s">
        <v>323</v>
      </c>
      <c r="H62" s="103" t="s">
        <v>322</v>
      </c>
      <c r="I62" s="105">
        <v>16.0</v>
      </c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</row>
    <row r="63" ht="12.0" hidden="1" customHeight="1">
      <c r="A63" s="103" t="s">
        <v>386</v>
      </c>
      <c r="B63" s="103" t="s">
        <v>387</v>
      </c>
      <c r="C63" s="103" t="s">
        <v>388</v>
      </c>
      <c r="D63" s="103" t="s">
        <v>392</v>
      </c>
      <c r="E63" s="103" t="s">
        <v>322</v>
      </c>
      <c r="F63" s="104">
        <v>55.25</v>
      </c>
      <c r="G63" s="103" t="s">
        <v>323</v>
      </c>
      <c r="H63" s="103" t="s">
        <v>322</v>
      </c>
      <c r="I63" s="105">
        <v>25.0</v>
      </c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</row>
    <row r="64" ht="12.0" hidden="1" customHeight="1">
      <c r="A64" s="103" t="s">
        <v>386</v>
      </c>
      <c r="B64" s="103" t="s">
        <v>387</v>
      </c>
      <c r="C64" s="103" t="s">
        <v>388</v>
      </c>
      <c r="D64" s="103" t="s">
        <v>393</v>
      </c>
      <c r="E64" s="103" t="s">
        <v>322</v>
      </c>
      <c r="F64" s="104">
        <v>68.46</v>
      </c>
      <c r="G64" s="103" t="s">
        <v>323</v>
      </c>
      <c r="H64" s="103" t="s">
        <v>322</v>
      </c>
      <c r="I64" s="105">
        <v>40.0</v>
      </c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</row>
    <row r="65" ht="12.0" hidden="1" customHeight="1">
      <c r="A65" s="103" t="s">
        <v>386</v>
      </c>
      <c r="B65" s="103" t="s">
        <v>387</v>
      </c>
      <c r="C65" s="103" t="s">
        <v>388</v>
      </c>
      <c r="D65" s="103" t="s">
        <v>394</v>
      </c>
      <c r="E65" s="103" t="s">
        <v>322</v>
      </c>
      <c r="F65" s="104">
        <v>50.47</v>
      </c>
      <c r="G65" s="103" t="s">
        <v>323</v>
      </c>
      <c r="H65" s="103" t="s">
        <v>322</v>
      </c>
      <c r="I65" s="105">
        <v>25.0</v>
      </c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</row>
    <row r="66" ht="12.0" hidden="1" customHeight="1">
      <c r="A66" s="103" t="s">
        <v>386</v>
      </c>
      <c r="B66" s="103" t="s">
        <v>387</v>
      </c>
      <c r="C66" s="103" t="s">
        <v>388</v>
      </c>
      <c r="D66" s="103" t="s">
        <v>357</v>
      </c>
      <c r="E66" s="103" t="s">
        <v>322</v>
      </c>
      <c r="F66" s="104">
        <v>144.07</v>
      </c>
      <c r="G66" s="103" t="s">
        <v>323</v>
      </c>
      <c r="H66" s="103" t="s">
        <v>322</v>
      </c>
      <c r="I66" s="105">
        <v>77.0</v>
      </c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</row>
    <row r="67" ht="12.0" hidden="1" customHeight="1">
      <c r="A67" s="103" t="s">
        <v>386</v>
      </c>
      <c r="B67" s="103" t="s">
        <v>387</v>
      </c>
      <c r="C67" s="103" t="s">
        <v>388</v>
      </c>
      <c r="D67" s="103" t="s">
        <v>321</v>
      </c>
      <c r="E67" s="103" t="s">
        <v>322</v>
      </c>
      <c r="F67" s="104">
        <v>190.69</v>
      </c>
      <c r="G67" s="103" t="s">
        <v>323</v>
      </c>
      <c r="H67" s="103" t="s">
        <v>322</v>
      </c>
      <c r="I67" s="105">
        <v>169.0</v>
      </c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</row>
    <row r="68" ht="12.0" hidden="1" customHeight="1">
      <c r="A68" s="103" t="s">
        <v>386</v>
      </c>
      <c r="B68" s="103" t="s">
        <v>387</v>
      </c>
      <c r="C68" s="103" t="s">
        <v>388</v>
      </c>
      <c r="D68" s="103" t="s">
        <v>395</v>
      </c>
      <c r="E68" s="103" t="s">
        <v>396</v>
      </c>
      <c r="F68" s="104">
        <v>163.88</v>
      </c>
      <c r="G68" s="103" t="s">
        <v>323</v>
      </c>
      <c r="H68" s="103" t="s">
        <v>322</v>
      </c>
      <c r="I68" s="105">
        <v>70.0</v>
      </c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</row>
    <row r="69" ht="12.0" hidden="1" customHeight="1">
      <c r="A69" s="103" t="s">
        <v>386</v>
      </c>
      <c r="B69" s="103" t="s">
        <v>387</v>
      </c>
      <c r="C69" s="103" t="s">
        <v>388</v>
      </c>
      <c r="D69" s="103" t="s">
        <v>356</v>
      </c>
      <c r="E69" s="103" t="s">
        <v>322</v>
      </c>
      <c r="F69" s="104">
        <v>73.14</v>
      </c>
      <c r="G69" s="103" t="s">
        <v>323</v>
      </c>
      <c r="H69" s="103" t="s">
        <v>322</v>
      </c>
      <c r="I69" s="105">
        <v>40.0</v>
      </c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</row>
    <row r="70" ht="12.0" hidden="1" customHeight="1">
      <c r="A70" s="103" t="s">
        <v>397</v>
      </c>
      <c r="B70" s="103" t="s">
        <v>398</v>
      </c>
      <c r="C70" s="103" t="s">
        <v>399</v>
      </c>
      <c r="D70" s="103" t="s">
        <v>400</v>
      </c>
      <c r="E70" s="103" t="s">
        <v>322</v>
      </c>
      <c r="F70" s="104">
        <v>102.07</v>
      </c>
      <c r="G70" s="103" t="s">
        <v>323</v>
      </c>
      <c r="H70" s="103" t="s">
        <v>322</v>
      </c>
      <c r="I70" s="105">
        <v>60.0</v>
      </c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</row>
    <row r="71" ht="12.0" hidden="1" customHeight="1">
      <c r="A71" s="103" t="s">
        <v>401</v>
      </c>
      <c r="B71" s="103" t="s">
        <v>402</v>
      </c>
      <c r="C71" s="103" t="s">
        <v>403</v>
      </c>
      <c r="D71" s="103" t="s">
        <v>392</v>
      </c>
      <c r="E71" s="103" t="s">
        <v>404</v>
      </c>
      <c r="F71" s="104">
        <v>37.44</v>
      </c>
      <c r="G71" s="103" t="s">
        <v>405</v>
      </c>
      <c r="H71" s="103" t="s">
        <v>406</v>
      </c>
      <c r="I71" s="105">
        <v>20.0</v>
      </c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</row>
    <row r="72" ht="12.0" hidden="1" customHeight="1">
      <c r="A72" s="103" t="s">
        <v>401</v>
      </c>
      <c r="B72" s="103" t="s">
        <v>402</v>
      </c>
      <c r="C72" s="103" t="s">
        <v>403</v>
      </c>
      <c r="D72" s="103" t="s">
        <v>381</v>
      </c>
      <c r="E72" s="103" t="s">
        <v>322</v>
      </c>
      <c r="F72" s="104">
        <v>61.07</v>
      </c>
      <c r="G72" s="103" t="s">
        <v>323</v>
      </c>
      <c r="H72" s="103" t="s">
        <v>322</v>
      </c>
      <c r="I72" s="105">
        <v>30.0</v>
      </c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</row>
    <row r="73" ht="12.0" hidden="1" customHeight="1">
      <c r="A73" s="103" t="s">
        <v>401</v>
      </c>
      <c r="B73" s="103" t="s">
        <v>402</v>
      </c>
      <c r="C73" s="103" t="s">
        <v>403</v>
      </c>
      <c r="D73" s="103" t="s">
        <v>380</v>
      </c>
      <c r="E73" s="103" t="s">
        <v>322</v>
      </c>
      <c r="F73" s="104">
        <v>99.11</v>
      </c>
      <c r="G73" s="103" t="s">
        <v>323</v>
      </c>
      <c r="H73" s="103" t="s">
        <v>322</v>
      </c>
      <c r="I73" s="105">
        <v>69.0</v>
      </c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</row>
    <row r="74" ht="12.0" hidden="1" customHeight="1">
      <c r="A74" s="103" t="s">
        <v>401</v>
      </c>
      <c r="B74" s="103" t="s">
        <v>402</v>
      </c>
      <c r="C74" s="103" t="s">
        <v>403</v>
      </c>
      <c r="D74" s="103" t="s">
        <v>407</v>
      </c>
      <c r="E74" s="103" t="s">
        <v>322</v>
      </c>
      <c r="F74" s="104">
        <v>87.1</v>
      </c>
      <c r="G74" s="103" t="s">
        <v>323</v>
      </c>
      <c r="H74" s="103" t="s">
        <v>322</v>
      </c>
      <c r="I74" s="105">
        <v>64.0</v>
      </c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</row>
    <row r="75" ht="12.0" hidden="1" customHeight="1">
      <c r="A75" s="103" t="s">
        <v>401</v>
      </c>
      <c r="B75" s="103" t="s">
        <v>402</v>
      </c>
      <c r="C75" s="103" t="s">
        <v>403</v>
      </c>
      <c r="D75" s="103" t="s">
        <v>324</v>
      </c>
      <c r="E75" s="103" t="s">
        <v>322</v>
      </c>
      <c r="F75" s="104">
        <v>65.92</v>
      </c>
      <c r="G75" s="103" t="s">
        <v>323</v>
      </c>
      <c r="H75" s="103" t="s">
        <v>322</v>
      </c>
      <c r="I75" s="105">
        <v>35.0</v>
      </c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</row>
    <row r="76" ht="12.0" hidden="1" customHeight="1">
      <c r="A76" s="103" t="s">
        <v>401</v>
      </c>
      <c r="B76" s="103" t="s">
        <v>402</v>
      </c>
      <c r="C76" s="103" t="s">
        <v>403</v>
      </c>
      <c r="D76" s="103" t="s">
        <v>336</v>
      </c>
      <c r="E76" s="103" t="s">
        <v>322</v>
      </c>
      <c r="F76" s="104">
        <v>58.89</v>
      </c>
      <c r="G76" s="103" t="s">
        <v>323</v>
      </c>
      <c r="H76" s="103" t="s">
        <v>322</v>
      </c>
      <c r="I76" s="105">
        <v>30.0</v>
      </c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</row>
    <row r="77" ht="12.0" hidden="1" customHeight="1">
      <c r="A77" s="103" t="s">
        <v>401</v>
      </c>
      <c r="B77" s="103" t="s">
        <v>402</v>
      </c>
      <c r="C77" s="103" t="s">
        <v>403</v>
      </c>
      <c r="D77" s="103" t="s">
        <v>395</v>
      </c>
      <c r="E77" s="103" t="s">
        <v>322</v>
      </c>
      <c r="F77" s="104">
        <v>285.19</v>
      </c>
      <c r="G77" s="103" t="s">
        <v>323</v>
      </c>
      <c r="H77" s="103" t="s">
        <v>322</v>
      </c>
      <c r="I77" s="105">
        <v>193.0</v>
      </c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</row>
    <row r="78" ht="12.0" hidden="1" customHeight="1">
      <c r="A78" s="103" t="s">
        <v>401</v>
      </c>
      <c r="B78" s="103" t="s">
        <v>402</v>
      </c>
      <c r="C78" s="103" t="s">
        <v>403</v>
      </c>
      <c r="D78" s="103" t="s">
        <v>325</v>
      </c>
      <c r="E78" s="103" t="s">
        <v>322</v>
      </c>
      <c r="F78" s="104">
        <v>67.32</v>
      </c>
      <c r="G78" s="103" t="s">
        <v>323</v>
      </c>
      <c r="H78" s="103" t="s">
        <v>322</v>
      </c>
      <c r="I78" s="105">
        <v>35.0</v>
      </c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</row>
    <row r="79" ht="12.0" hidden="1" customHeight="1">
      <c r="A79" s="103" t="s">
        <v>401</v>
      </c>
      <c r="B79" s="103" t="s">
        <v>402</v>
      </c>
      <c r="C79" s="103" t="s">
        <v>403</v>
      </c>
      <c r="D79" s="103" t="s">
        <v>326</v>
      </c>
      <c r="E79" s="103" t="s">
        <v>322</v>
      </c>
      <c r="F79" s="104">
        <v>52.9</v>
      </c>
      <c r="G79" s="103" t="s">
        <v>323</v>
      </c>
      <c r="H79" s="103" t="s">
        <v>322</v>
      </c>
      <c r="I79" s="105">
        <v>30.0</v>
      </c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</row>
    <row r="80" ht="12.0" hidden="1" customHeight="1">
      <c r="A80" s="103" t="s">
        <v>401</v>
      </c>
      <c r="B80" s="103" t="s">
        <v>402</v>
      </c>
      <c r="C80" s="103" t="s">
        <v>403</v>
      </c>
      <c r="D80" s="103" t="s">
        <v>367</v>
      </c>
      <c r="E80" s="103" t="s">
        <v>322</v>
      </c>
      <c r="F80" s="104">
        <v>97.22</v>
      </c>
      <c r="G80" s="103" t="s">
        <v>323</v>
      </c>
      <c r="H80" s="103" t="s">
        <v>322</v>
      </c>
      <c r="I80" s="105">
        <v>60.0</v>
      </c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</row>
    <row r="81" ht="12.0" hidden="1" customHeight="1">
      <c r="A81" s="103" t="s">
        <v>401</v>
      </c>
      <c r="B81" s="103" t="s">
        <v>402</v>
      </c>
      <c r="C81" s="103" t="s">
        <v>403</v>
      </c>
      <c r="D81" s="103" t="s">
        <v>408</v>
      </c>
      <c r="E81" s="103" t="s">
        <v>396</v>
      </c>
      <c r="F81" s="104">
        <v>292.4</v>
      </c>
      <c r="G81" s="103" t="s">
        <v>323</v>
      </c>
      <c r="H81" s="103" t="s">
        <v>322</v>
      </c>
      <c r="I81" s="105">
        <v>100.0</v>
      </c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</row>
    <row r="82" ht="12.0" customHeight="1">
      <c r="A82" s="101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</row>
    <row r="83" ht="12.0" customHeight="1">
      <c r="A83" s="101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</row>
    <row r="84" ht="12.0" customHeight="1">
      <c r="A84" s="101"/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</row>
    <row r="85" ht="12.0" customHeight="1">
      <c r="A85" s="101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</row>
    <row r="86" ht="12.0" customHeight="1">
      <c r="A86" s="101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</row>
    <row r="87" ht="12.0" customHeight="1">
      <c r="A87" s="101"/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</row>
    <row r="88" ht="12.0" customHeight="1">
      <c r="A88" s="101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</row>
    <row r="89" ht="12.0" customHeight="1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</row>
    <row r="90" ht="12.0" customHeight="1">
      <c r="A90" s="101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</row>
    <row r="91" ht="12.0" customHeight="1">
      <c r="A91" s="101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</row>
    <row r="92" ht="12.0" customHeight="1">
      <c r="A92" s="101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</row>
    <row r="93" ht="12.0" customHeight="1">
      <c r="A93" s="101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</row>
    <row r="94" ht="12.0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</row>
    <row r="95" ht="12.0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</row>
    <row r="96" ht="12.0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</row>
    <row r="97" ht="12.0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</row>
    <row r="98" ht="12.0" customHeight="1">
      <c r="A98" s="101"/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</row>
    <row r="99" ht="12.0" customHeight="1">
      <c r="A99" s="101"/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</row>
    <row r="100" ht="12.0" customHeight="1">
      <c r="A100" s="101"/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</row>
    <row r="101" ht="12.0" customHeight="1">
      <c r="A101" s="101"/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</row>
    <row r="102" ht="12.0" customHeight="1">
      <c r="A102" s="101"/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</row>
    <row r="103" ht="12.0" customHeight="1">
      <c r="A103" s="101"/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</row>
    <row r="104" ht="12.0" customHeight="1">
      <c r="A104" s="101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</row>
    <row r="105" ht="12.0" customHeight="1">
      <c r="A105" s="101"/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</row>
    <row r="106" ht="12.0" customHeight="1">
      <c r="A106" s="101"/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</row>
    <row r="107" ht="12.0" customHeight="1">
      <c r="A107" s="101"/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</row>
    <row r="108" ht="12.0" customHeight="1">
      <c r="A108" s="101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</row>
    <row r="109" ht="12.0" customHeight="1">
      <c r="A109" s="101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</row>
    <row r="110" ht="12.0" customHeight="1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</row>
    <row r="111" ht="12.0" customHeight="1">
      <c r="A111" s="101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</row>
    <row r="112" ht="12.0" customHeight="1">
      <c r="A112" s="101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</row>
    <row r="113" ht="12.0" customHeight="1">
      <c r="A113" s="101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</row>
    <row r="114" ht="12.0" customHeight="1">
      <c r="A114" s="101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</row>
    <row r="115" ht="12.0" customHeight="1">
      <c r="A115" s="101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</row>
    <row r="116" ht="12.0" customHeight="1">
      <c r="A116" s="101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</row>
    <row r="117" ht="12.0" customHeight="1">
      <c r="A117" s="101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</row>
    <row r="118" ht="12.0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</row>
    <row r="119" ht="12.0" customHeight="1">
      <c r="A119" s="101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</row>
    <row r="120" ht="12.0" customHeight="1">
      <c r="A120" s="101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</row>
    <row r="121" ht="12.0" customHeight="1">
      <c r="A121" s="101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</row>
    <row r="122" ht="12.0" customHeight="1">
      <c r="A122" s="101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</row>
    <row r="123" ht="12.0" customHeight="1">
      <c r="A123" s="101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</row>
    <row r="124" ht="12.0" customHeight="1">
      <c r="A124" s="101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</row>
    <row r="125" ht="12.0" customHeight="1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</row>
    <row r="126" ht="12.0" customHeight="1">
      <c r="A126" s="101"/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</row>
    <row r="127" ht="12.0" customHeight="1">
      <c r="A127" s="101"/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</row>
    <row r="128" ht="12.0" customHeight="1">
      <c r="A128" s="101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</row>
    <row r="129" ht="12.0" customHeight="1">
      <c r="A129" s="101"/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</row>
    <row r="130" ht="12.0" customHeight="1">
      <c r="A130" s="101"/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</row>
    <row r="131" ht="12.0" customHeight="1">
      <c r="A131" s="101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</row>
    <row r="132" ht="12.0" customHeight="1">
      <c r="A132" s="101"/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</row>
    <row r="133" ht="12.0" customHeight="1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</row>
    <row r="134" ht="12.0" customHeight="1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</row>
    <row r="135" ht="12.0" customHeight="1">
      <c r="A135" s="101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</row>
    <row r="136" ht="12.0" customHeight="1">
      <c r="A136" s="101"/>
      <c r="B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</row>
    <row r="137" ht="12.0" customHeight="1">
      <c r="A137" s="101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</row>
    <row r="138" ht="12.0" customHeight="1">
      <c r="A138" s="101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</row>
    <row r="139" ht="12.0" customHeight="1">
      <c r="A139" s="101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</row>
    <row r="140" ht="12.0" customHeight="1">
      <c r="A140" s="101"/>
      <c r="B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</row>
    <row r="141" ht="12.0" customHeight="1">
      <c r="A141" s="101"/>
      <c r="B141" s="101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</row>
    <row r="142" ht="12.0" customHeight="1">
      <c r="A142" s="101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</row>
    <row r="143" ht="12.0" customHeight="1">
      <c r="A143" s="101"/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</row>
    <row r="144" ht="12.0" customHeight="1">
      <c r="A144" s="101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</row>
    <row r="145" ht="12.0" customHeight="1">
      <c r="A145" s="101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</row>
    <row r="146" ht="12.0" customHeight="1">
      <c r="A146" s="101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</row>
    <row r="147" ht="12.0" customHeight="1">
      <c r="A147" s="101"/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</row>
    <row r="148" ht="12.0" customHeight="1">
      <c r="A148" s="101"/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</row>
    <row r="149" ht="12.0" customHeight="1">
      <c r="A149" s="101"/>
      <c r="B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</row>
    <row r="150" ht="12.0" customHeight="1">
      <c r="A150" s="101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</row>
    <row r="151" ht="12.0" customHeight="1">
      <c r="A151" s="101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</row>
    <row r="152" ht="12.0" customHeight="1">
      <c r="A152" s="101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</row>
    <row r="153" ht="12.0" customHeight="1">
      <c r="A153" s="101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</row>
    <row r="154" ht="12.0" customHeight="1">
      <c r="A154" s="101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</row>
    <row r="155" ht="12.0" customHeight="1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</row>
    <row r="156" ht="12.0" customHeight="1">
      <c r="A156" s="101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</row>
    <row r="157" ht="12.0" customHeight="1">
      <c r="A157" s="101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</row>
    <row r="158" ht="12.0" customHeight="1">
      <c r="A158" s="101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</row>
    <row r="159" ht="12.0" customHeight="1">
      <c r="A159" s="101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</row>
    <row r="160" ht="12.0" customHeight="1">
      <c r="A160" s="101"/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</row>
    <row r="161" ht="12.0" customHeight="1">
      <c r="A161" s="101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</row>
    <row r="162" ht="12.0" customHeight="1">
      <c r="A162" s="101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</row>
    <row r="163" ht="12.0" customHeight="1">
      <c r="A163" s="101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</row>
    <row r="164" ht="12.0" customHeight="1">
      <c r="A164" s="101"/>
      <c r="B164" s="101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</row>
    <row r="165" ht="12.0" customHeight="1">
      <c r="A165" s="101"/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</row>
    <row r="166" ht="12.0" customHeight="1">
      <c r="A166" s="101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</row>
    <row r="167" ht="12.0" customHeight="1">
      <c r="A167" s="101"/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</row>
    <row r="168" ht="12.0" customHeight="1">
      <c r="A168" s="101"/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</row>
    <row r="169" ht="12.0" customHeight="1">
      <c r="A169" s="101"/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</row>
    <row r="170" ht="12.0" customHeight="1">
      <c r="A170" s="101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</row>
    <row r="171" ht="12.0" customHeight="1">
      <c r="A171" s="101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</row>
    <row r="172" ht="12.0" customHeight="1">
      <c r="A172" s="101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</row>
    <row r="173" ht="12.0" customHeight="1">
      <c r="A173" s="101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</row>
    <row r="174" ht="12.0" customHeight="1">
      <c r="A174" s="101"/>
      <c r="B174" s="101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</row>
    <row r="175" ht="12.0" customHeight="1">
      <c r="A175" s="101"/>
      <c r="B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</row>
    <row r="176" ht="12.0" customHeight="1">
      <c r="A176" s="101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</row>
    <row r="177" ht="12.0" customHeight="1">
      <c r="A177" s="101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</row>
    <row r="178" ht="12.0" customHeight="1">
      <c r="A178" s="101"/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</row>
    <row r="179" ht="12.0" customHeight="1">
      <c r="A179" s="101"/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</row>
    <row r="180" ht="12.0" customHeight="1">
      <c r="A180" s="101"/>
      <c r="B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</row>
    <row r="181" ht="12.0" customHeight="1">
      <c r="A181" s="101"/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</row>
    <row r="182" ht="12.0" customHeight="1">
      <c r="A182" s="101"/>
      <c r="B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</row>
    <row r="183" ht="12.0" customHeight="1">
      <c r="A183" s="101"/>
      <c r="B183" s="101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</row>
    <row r="184" ht="12.0" customHeight="1">
      <c r="A184" s="101"/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</row>
    <row r="185" ht="12.0" customHeight="1">
      <c r="A185" s="101"/>
      <c r="B185" s="101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</row>
    <row r="186" ht="12.0" customHeight="1">
      <c r="A186" s="101"/>
      <c r="B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</row>
    <row r="187" ht="12.0" customHeight="1">
      <c r="A187" s="101"/>
      <c r="B187" s="101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</row>
    <row r="188" ht="12.0" customHeight="1">
      <c r="A188" s="101"/>
      <c r="B188" s="101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</row>
    <row r="189" ht="12.0" customHeight="1">
      <c r="A189" s="101"/>
      <c r="B189" s="101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</row>
    <row r="190" ht="12.0" customHeight="1">
      <c r="A190" s="101"/>
      <c r="B190" s="101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</row>
    <row r="191" ht="12.0" customHeight="1">
      <c r="A191" s="101"/>
      <c r="B191" s="101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</row>
    <row r="192" ht="12.0" customHeight="1">
      <c r="A192" s="101"/>
      <c r="B192" s="101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</row>
    <row r="193" ht="12.0" customHeight="1">
      <c r="A193" s="101"/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</row>
    <row r="194" ht="12.0" customHeight="1">
      <c r="A194" s="101"/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</row>
    <row r="195" ht="12.0" customHeight="1">
      <c r="A195" s="101"/>
      <c r="B195" s="101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</row>
    <row r="196" ht="12.0" customHeight="1">
      <c r="A196" s="101"/>
      <c r="B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</row>
    <row r="197" ht="12.0" customHeight="1">
      <c r="A197" s="101"/>
      <c r="B197" s="10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</row>
    <row r="198" ht="12.0" customHeight="1">
      <c r="A198" s="101"/>
      <c r="B198" s="101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</row>
    <row r="199" ht="12.0" customHeight="1">
      <c r="A199" s="101"/>
      <c r="B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</row>
    <row r="200" ht="12.0" customHeight="1">
      <c r="A200" s="101"/>
      <c r="B200" s="101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</row>
    <row r="201" ht="12.0" customHeight="1">
      <c r="A201" s="101"/>
      <c r="B201" s="101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</row>
    <row r="202" ht="12.0" customHeight="1">
      <c r="A202" s="101"/>
      <c r="B202" s="101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</row>
    <row r="203" ht="12.0" customHeight="1">
      <c r="A203" s="101"/>
      <c r="B203" s="101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</row>
    <row r="204" ht="12.0" customHeight="1">
      <c r="A204" s="101"/>
      <c r="B204" s="101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</row>
    <row r="205" ht="12.0" customHeight="1">
      <c r="A205" s="101"/>
      <c r="B205" s="101"/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</row>
    <row r="206" ht="12.0" customHeight="1">
      <c r="A206" s="101"/>
      <c r="B206" s="101"/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</row>
    <row r="207" ht="12.0" customHeight="1">
      <c r="A207" s="101"/>
      <c r="B207" s="101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</row>
    <row r="208" ht="12.0" customHeight="1">
      <c r="A208" s="101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</row>
    <row r="209" ht="12.0" customHeight="1">
      <c r="A209" s="101"/>
      <c r="B209" s="101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</row>
    <row r="210" ht="12.0" customHeight="1">
      <c r="A210" s="101"/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</row>
    <row r="211" ht="12.0" customHeight="1">
      <c r="A211" s="101"/>
      <c r="B211" s="101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</row>
    <row r="212" ht="12.0" customHeight="1">
      <c r="A212" s="101"/>
      <c r="B212" s="101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</row>
    <row r="213" ht="12.0" customHeight="1">
      <c r="A213" s="101"/>
      <c r="B213" s="101"/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</row>
    <row r="214" ht="12.0" customHeight="1">
      <c r="A214" s="101"/>
      <c r="B214" s="101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</row>
    <row r="215" ht="12.0" customHeight="1">
      <c r="A215" s="101"/>
      <c r="B215" s="101"/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</row>
    <row r="216" ht="12.0" customHeight="1">
      <c r="A216" s="101"/>
      <c r="B216" s="101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</row>
    <row r="217" ht="12.0" customHeight="1">
      <c r="A217" s="101"/>
      <c r="B217" s="101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</row>
    <row r="218" ht="12.0" customHeight="1">
      <c r="A218" s="101"/>
      <c r="B218" s="101"/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</row>
    <row r="219" ht="12.0" customHeight="1">
      <c r="A219" s="101"/>
      <c r="B219" s="101"/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</row>
    <row r="220" ht="12.0" customHeight="1">
      <c r="A220" s="101"/>
      <c r="B220" s="101"/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</row>
    <row r="221" ht="12.0" customHeight="1">
      <c r="A221" s="101"/>
      <c r="B221" s="101"/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</row>
    <row r="222" ht="12.0" customHeight="1">
      <c r="A222" s="101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</row>
    <row r="223" ht="12.0" customHeight="1">
      <c r="A223" s="101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</row>
    <row r="224" ht="12.0" customHeight="1">
      <c r="A224" s="101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</row>
    <row r="225" ht="12.0" customHeight="1">
      <c r="A225" s="101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</row>
    <row r="226" ht="12.0" customHeight="1">
      <c r="A226" s="101"/>
      <c r="B226" s="101"/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</row>
    <row r="227" ht="12.0" customHeight="1">
      <c r="A227" s="101"/>
      <c r="B227" s="101"/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</row>
    <row r="228" ht="12.0" customHeight="1">
      <c r="A228" s="101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</row>
    <row r="229" ht="12.0" customHeight="1">
      <c r="A229" s="101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</row>
    <row r="230" ht="12.0" customHeight="1">
      <c r="A230" s="101"/>
      <c r="B230" s="101"/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</row>
    <row r="231" ht="12.0" customHeight="1">
      <c r="A231" s="101"/>
      <c r="B231" s="101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</row>
    <row r="232" ht="12.0" customHeight="1">
      <c r="A232" s="101"/>
      <c r="B232" s="101"/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</row>
    <row r="233" ht="12.0" customHeight="1">
      <c r="A233" s="101"/>
      <c r="B233" s="101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</row>
    <row r="234" ht="12.0" customHeight="1">
      <c r="A234" s="101"/>
      <c r="B234" s="101"/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</row>
    <row r="235" ht="12.0" customHeight="1">
      <c r="A235" s="101"/>
      <c r="B235" s="101"/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</row>
    <row r="236" ht="12.0" customHeight="1">
      <c r="A236" s="101"/>
      <c r="B236" s="101"/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</row>
    <row r="237" ht="12.0" customHeight="1">
      <c r="A237" s="101"/>
      <c r="B237" s="101"/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</row>
    <row r="238" ht="12.0" customHeight="1">
      <c r="A238" s="101"/>
      <c r="B238" s="101"/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</row>
    <row r="239" ht="12.0" customHeight="1">
      <c r="A239" s="101"/>
      <c r="B239" s="101"/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</row>
    <row r="240" ht="12.0" customHeight="1">
      <c r="A240" s="101"/>
      <c r="B240" s="101"/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</row>
    <row r="241" ht="12.0" customHeight="1">
      <c r="A241" s="101"/>
      <c r="B241" s="101"/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</row>
    <row r="242" ht="12.0" customHeight="1">
      <c r="A242" s="101"/>
      <c r="B242" s="101"/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</row>
    <row r="243" ht="12.0" customHeight="1">
      <c r="A243" s="101"/>
      <c r="B243" s="101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</row>
    <row r="244" ht="12.0" customHeight="1">
      <c r="A244" s="101"/>
      <c r="B244" s="101"/>
      <c r="C244" s="101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</row>
    <row r="245" ht="12.0" customHeight="1">
      <c r="A245" s="101"/>
      <c r="B245" s="101"/>
      <c r="C245" s="101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</row>
    <row r="246" ht="12.0" customHeight="1">
      <c r="A246" s="101"/>
      <c r="B246" s="101"/>
      <c r="C246" s="101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</row>
    <row r="247" ht="12.0" customHeight="1">
      <c r="A247" s="101"/>
      <c r="B247" s="101"/>
      <c r="C247" s="101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</row>
    <row r="248" ht="12.0" customHeight="1">
      <c r="A248" s="101"/>
      <c r="B248" s="101"/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</row>
    <row r="249" ht="12.0" customHeight="1">
      <c r="A249" s="101"/>
      <c r="B249" s="101"/>
      <c r="C249" s="101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</row>
    <row r="250" ht="12.0" customHeight="1">
      <c r="A250" s="101"/>
      <c r="B250" s="101"/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</row>
    <row r="251" ht="12.0" customHeight="1">
      <c r="A251" s="101"/>
      <c r="B251" s="101"/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</row>
    <row r="252" ht="12.0" customHeight="1">
      <c r="A252" s="101"/>
      <c r="B252" s="101"/>
      <c r="C252" s="101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</row>
    <row r="253" ht="12.0" customHeight="1">
      <c r="A253" s="101"/>
      <c r="B253" s="101"/>
      <c r="C253" s="101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</row>
    <row r="254" ht="12.0" customHeight="1">
      <c r="A254" s="101"/>
      <c r="B254" s="10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</row>
    <row r="255" ht="12.0" customHeight="1">
      <c r="A255" s="101"/>
      <c r="B255" s="101"/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</row>
    <row r="256" ht="12.0" customHeight="1">
      <c r="A256" s="101"/>
      <c r="B256" s="101"/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</row>
    <row r="257" ht="12.0" customHeight="1">
      <c r="A257" s="101"/>
      <c r="B257" s="101"/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</row>
    <row r="258" ht="12.0" customHeight="1">
      <c r="A258" s="101"/>
      <c r="B258" s="101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</row>
    <row r="259" ht="12.0" customHeight="1">
      <c r="A259" s="101"/>
      <c r="B259" s="101"/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</row>
    <row r="260" ht="12.0" customHeight="1">
      <c r="A260" s="101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</row>
    <row r="261" ht="12.0" customHeight="1">
      <c r="A261" s="101"/>
      <c r="B261" s="101"/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</row>
    <row r="262" ht="12.0" customHeight="1">
      <c r="A262" s="101"/>
      <c r="B262" s="101"/>
      <c r="C262" s="101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</row>
    <row r="263" ht="12.0" customHeight="1">
      <c r="A263" s="101"/>
      <c r="B263" s="101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</row>
    <row r="264" ht="12.0" customHeight="1">
      <c r="A264" s="101"/>
      <c r="B264" s="101"/>
      <c r="C264" s="101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</row>
    <row r="265" ht="12.0" customHeight="1">
      <c r="A265" s="101"/>
      <c r="B265" s="101"/>
      <c r="C265" s="101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</row>
    <row r="266" ht="12.0" customHeight="1">
      <c r="A266" s="101"/>
      <c r="B266" s="101"/>
      <c r="C266" s="101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</row>
    <row r="267" ht="12.0" customHeight="1">
      <c r="A267" s="101"/>
      <c r="B267" s="101"/>
      <c r="C267" s="101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</row>
    <row r="268" ht="12.0" customHeight="1">
      <c r="A268" s="101"/>
      <c r="B268" s="101"/>
      <c r="C268" s="101"/>
      <c r="D268" s="101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</row>
    <row r="269" ht="12.0" customHeight="1">
      <c r="A269" s="101"/>
      <c r="B269" s="101"/>
      <c r="C269" s="101"/>
      <c r="D269" s="101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</row>
    <row r="270" ht="12.0" customHeight="1">
      <c r="A270" s="101"/>
      <c r="B270" s="101"/>
      <c r="C270" s="101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</row>
    <row r="271" ht="12.0" customHeight="1">
      <c r="A271" s="101"/>
      <c r="B271" s="101"/>
      <c r="C271" s="101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</row>
    <row r="272" ht="12.0" customHeight="1">
      <c r="A272" s="101"/>
      <c r="B272" s="101"/>
      <c r="C272" s="101"/>
      <c r="D272" s="101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</row>
    <row r="273" ht="12.0" customHeight="1">
      <c r="A273" s="101"/>
      <c r="B273" s="101"/>
      <c r="C273" s="101"/>
      <c r="D273" s="101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</row>
    <row r="274" ht="12.0" customHeight="1">
      <c r="A274" s="101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</row>
    <row r="275" ht="12.0" customHeight="1">
      <c r="A275" s="101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</row>
    <row r="276" ht="12.0" customHeight="1">
      <c r="A276" s="101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</row>
    <row r="277" ht="12.0" customHeight="1">
      <c r="A277" s="101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</row>
    <row r="278" ht="12.0" customHeight="1">
      <c r="A278" s="101"/>
      <c r="B278" s="101"/>
      <c r="C278" s="101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</row>
    <row r="279" ht="12.0" customHeight="1">
      <c r="A279" s="101"/>
      <c r="B279" s="101"/>
      <c r="C279" s="101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</row>
    <row r="280" ht="12.0" customHeight="1">
      <c r="A280" s="101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</row>
    <row r="281" ht="12.0" customHeight="1">
      <c r="A281" s="101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</row>
    <row r="282" ht="12.0" customHeight="1">
      <c r="A282" s="101"/>
      <c r="B282" s="101"/>
      <c r="C282" s="101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</row>
    <row r="283" ht="12.0" customHeight="1">
      <c r="A283" s="101"/>
      <c r="B283" s="101"/>
      <c r="C283" s="101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</row>
    <row r="284" ht="12.0" customHeight="1">
      <c r="A284" s="101"/>
      <c r="B284" s="101"/>
      <c r="C284" s="101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</row>
    <row r="285" ht="12.0" customHeight="1">
      <c r="A285" s="101"/>
      <c r="B285" s="101"/>
      <c r="C285" s="101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</row>
    <row r="286" ht="12.0" customHeight="1">
      <c r="A286" s="101"/>
      <c r="B286" s="101"/>
      <c r="C286" s="101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</row>
    <row r="287" ht="12.0" customHeight="1">
      <c r="A287" s="101"/>
      <c r="B287" s="101"/>
      <c r="C287" s="101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</row>
    <row r="288" ht="12.0" customHeight="1">
      <c r="A288" s="101"/>
      <c r="B288" s="101"/>
      <c r="C288" s="101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</row>
    <row r="289" ht="12.0" customHeight="1">
      <c r="A289" s="101"/>
      <c r="B289" s="101"/>
      <c r="C289" s="101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</row>
    <row r="290" ht="12.0" customHeight="1">
      <c r="A290" s="101"/>
      <c r="B290" s="101"/>
      <c r="C290" s="101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</row>
    <row r="291" ht="12.0" customHeight="1">
      <c r="A291" s="101"/>
      <c r="B291" s="101"/>
      <c r="C291" s="101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</row>
    <row r="292" ht="12.0" customHeight="1">
      <c r="A292" s="101"/>
      <c r="B292" s="101"/>
      <c r="C292" s="101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</row>
    <row r="293" ht="12.0" customHeight="1">
      <c r="A293" s="101"/>
      <c r="B293" s="101"/>
      <c r="C293" s="101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</row>
    <row r="294" ht="12.0" customHeight="1">
      <c r="A294" s="101"/>
      <c r="B294" s="101"/>
      <c r="C294" s="101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</row>
    <row r="295" ht="12.0" customHeight="1">
      <c r="A295" s="101"/>
      <c r="B295" s="101"/>
      <c r="C295" s="101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</row>
    <row r="296" ht="12.0" customHeight="1">
      <c r="A296" s="101"/>
      <c r="B296" s="101"/>
      <c r="C296" s="101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</row>
    <row r="297" ht="12.0" customHeight="1">
      <c r="A297" s="101"/>
      <c r="B297" s="101"/>
      <c r="C297" s="101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</row>
    <row r="298" ht="12.0" customHeight="1">
      <c r="A298" s="101"/>
      <c r="B298" s="101"/>
      <c r="C298" s="101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</row>
    <row r="299" ht="12.0" customHeight="1">
      <c r="A299" s="101"/>
      <c r="B299" s="101"/>
      <c r="C299" s="101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</row>
    <row r="300" ht="12.0" customHeight="1">
      <c r="A300" s="101"/>
      <c r="B300" s="101"/>
      <c r="C300" s="101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</row>
    <row r="301" ht="12.0" customHeight="1">
      <c r="A301" s="101"/>
      <c r="B301" s="101"/>
      <c r="C301" s="101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</row>
    <row r="302" ht="12.0" customHeight="1">
      <c r="A302" s="101"/>
      <c r="B302" s="101"/>
      <c r="C302" s="101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</row>
    <row r="303" ht="12.0" customHeight="1">
      <c r="A303" s="101"/>
      <c r="B303" s="101"/>
      <c r="C303" s="101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</row>
    <row r="304" ht="12.0" customHeight="1">
      <c r="A304" s="101"/>
      <c r="B304" s="101"/>
      <c r="C304" s="101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</row>
    <row r="305" ht="12.0" customHeight="1">
      <c r="A305" s="101"/>
      <c r="B305" s="101"/>
      <c r="C305" s="101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</row>
    <row r="306" ht="12.0" customHeight="1">
      <c r="A306" s="101"/>
      <c r="B306" s="101"/>
      <c r="C306" s="101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</row>
    <row r="307" ht="12.0" customHeight="1">
      <c r="A307" s="101"/>
      <c r="B307" s="101"/>
      <c r="C307" s="101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</row>
    <row r="308" ht="12.0" customHeight="1">
      <c r="A308" s="101"/>
      <c r="B308" s="101"/>
      <c r="C308" s="101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</row>
    <row r="309" ht="12.0" customHeight="1">
      <c r="A309" s="101"/>
      <c r="B309" s="101"/>
      <c r="C309" s="101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</row>
    <row r="310" ht="12.0" customHeight="1">
      <c r="A310" s="101"/>
      <c r="B310" s="101"/>
      <c r="C310" s="101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</row>
    <row r="311" ht="12.0" customHeight="1">
      <c r="A311" s="101"/>
      <c r="B311" s="101"/>
      <c r="C311" s="101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</row>
    <row r="312" ht="12.0" customHeight="1">
      <c r="A312" s="101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</row>
    <row r="313" ht="12.0" customHeight="1">
      <c r="A313" s="101"/>
      <c r="B313" s="101"/>
      <c r="C313" s="101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</row>
    <row r="314" ht="12.0" customHeight="1">
      <c r="A314" s="101"/>
      <c r="B314" s="101"/>
      <c r="C314" s="101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</row>
    <row r="315" ht="12.0" customHeight="1">
      <c r="A315" s="101"/>
      <c r="B315" s="101"/>
      <c r="C315" s="101"/>
      <c r="D315" s="101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</row>
    <row r="316" ht="12.0" customHeight="1">
      <c r="A316" s="101"/>
      <c r="B316" s="101"/>
      <c r="C316" s="101"/>
      <c r="D316" s="101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</row>
    <row r="317" ht="12.0" customHeight="1">
      <c r="A317" s="101"/>
      <c r="B317" s="101"/>
      <c r="C317" s="101"/>
      <c r="D317" s="101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</row>
    <row r="318" ht="12.0" customHeight="1">
      <c r="A318" s="101"/>
      <c r="B318" s="101"/>
      <c r="C318" s="101"/>
      <c r="D318" s="101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</row>
    <row r="319" ht="12.0" customHeight="1">
      <c r="A319" s="101"/>
      <c r="B319" s="101"/>
      <c r="C319" s="101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</row>
    <row r="320" ht="12.0" customHeight="1">
      <c r="A320" s="101"/>
      <c r="B320" s="101"/>
      <c r="C320" s="101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</row>
    <row r="321" ht="12.0" customHeight="1">
      <c r="A321" s="101"/>
      <c r="B321" s="101"/>
      <c r="C321" s="101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</row>
    <row r="322" ht="12.0" customHeight="1">
      <c r="A322" s="101"/>
      <c r="B322" s="101"/>
      <c r="C322" s="101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</row>
    <row r="323" ht="12.0" customHeight="1">
      <c r="A323" s="101"/>
      <c r="B323" s="101"/>
      <c r="C323" s="101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</row>
    <row r="324" ht="12.0" customHeight="1">
      <c r="A324" s="101"/>
      <c r="B324" s="101"/>
      <c r="C324" s="101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</row>
    <row r="325" ht="12.0" customHeight="1">
      <c r="A325" s="101"/>
      <c r="B325" s="101"/>
      <c r="C325" s="101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</row>
    <row r="326" ht="12.0" customHeight="1">
      <c r="A326" s="101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</row>
    <row r="327" ht="12.0" customHeight="1">
      <c r="A327" s="101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</row>
    <row r="328" ht="12.0" customHeight="1">
      <c r="A328" s="101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</row>
    <row r="329" ht="12.0" customHeight="1">
      <c r="A329" s="101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</row>
    <row r="330" ht="12.0" customHeight="1">
      <c r="A330" s="101"/>
      <c r="B330" s="101"/>
      <c r="C330" s="101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</row>
    <row r="331" ht="12.0" customHeight="1">
      <c r="A331" s="101"/>
      <c r="B331" s="101"/>
      <c r="C331" s="101"/>
      <c r="D331" s="101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</row>
    <row r="332" ht="12.0" customHeight="1">
      <c r="A332" s="101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</row>
    <row r="333" ht="12.0" customHeight="1">
      <c r="A333" s="101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</row>
    <row r="334" ht="12.0" customHeight="1">
      <c r="A334" s="101"/>
      <c r="B334" s="101"/>
      <c r="C334" s="101"/>
      <c r="D334" s="101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</row>
    <row r="335" ht="12.0" customHeight="1">
      <c r="A335" s="101"/>
      <c r="B335" s="101"/>
      <c r="C335" s="101"/>
      <c r="D335" s="101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</row>
    <row r="336" ht="12.0" customHeight="1">
      <c r="A336" s="101"/>
      <c r="B336" s="101"/>
      <c r="C336" s="101"/>
      <c r="D336" s="101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</row>
    <row r="337" ht="12.0" customHeight="1">
      <c r="A337" s="101"/>
      <c r="B337" s="101"/>
      <c r="C337" s="101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</row>
    <row r="338" ht="12.0" customHeight="1">
      <c r="A338" s="101"/>
      <c r="B338" s="101"/>
      <c r="C338" s="101"/>
      <c r="D338" s="101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</row>
    <row r="339" ht="12.0" customHeight="1">
      <c r="A339" s="101"/>
      <c r="B339" s="101"/>
      <c r="C339" s="101"/>
      <c r="D339" s="101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</row>
    <row r="340" ht="12.0" customHeight="1">
      <c r="A340" s="101"/>
      <c r="B340" s="101"/>
      <c r="C340" s="101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</row>
    <row r="341" ht="12.0" customHeight="1">
      <c r="A341" s="101"/>
      <c r="B341" s="101"/>
      <c r="C341" s="101"/>
      <c r="D341" s="101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</row>
    <row r="342" ht="12.0" customHeight="1">
      <c r="A342" s="101"/>
      <c r="B342" s="101"/>
      <c r="C342" s="101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</row>
    <row r="343" ht="12.0" customHeight="1">
      <c r="A343" s="101"/>
      <c r="B343" s="101"/>
      <c r="C343" s="101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</row>
    <row r="344" ht="12.0" customHeight="1">
      <c r="A344" s="101"/>
      <c r="B344" s="101"/>
      <c r="C344" s="101"/>
      <c r="D344" s="101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</row>
    <row r="345" ht="12.0" customHeight="1">
      <c r="A345" s="101"/>
      <c r="B345" s="101"/>
      <c r="C345" s="101"/>
      <c r="D345" s="101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</row>
    <row r="346" ht="12.0" customHeight="1">
      <c r="A346" s="101"/>
      <c r="B346" s="101"/>
      <c r="C346" s="101"/>
      <c r="D346" s="101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</row>
    <row r="347" ht="12.0" customHeight="1">
      <c r="A347" s="101"/>
      <c r="B347" s="101"/>
      <c r="C347" s="101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</row>
    <row r="348" ht="12.0" customHeight="1">
      <c r="A348" s="101"/>
      <c r="B348" s="101"/>
      <c r="C348" s="101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</row>
    <row r="349" ht="12.0" customHeight="1">
      <c r="A349" s="101"/>
      <c r="B349" s="101"/>
      <c r="C349" s="101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</row>
    <row r="350" ht="12.0" customHeight="1">
      <c r="A350" s="101"/>
      <c r="B350" s="101"/>
      <c r="C350" s="101"/>
      <c r="D350" s="101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</row>
    <row r="351" ht="12.0" customHeight="1">
      <c r="A351" s="101"/>
      <c r="B351" s="101"/>
      <c r="C351" s="101"/>
      <c r="D351" s="101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</row>
    <row r="352" ht="12.0" customHeight="1">
      <c r="A352" s="101"/>
      <c r="B352" s="101"/>
      <c r="C352" s="101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</row>
    <row r="353" ht="12.0" customHeight="1">
      <c r="A353" s="101"/>
      <c r="B353" s="101"/>
      <c r="C353" s="101"/>
      <c r="D353" s="101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</row>
    <row r="354" ht="12.0" customHeight="1">
      <c r="A354" s="101"/>
      <c r="B354" s="101"/>
      <c r="C354" s="101"/>
      <c r="D354" s="101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</row>
    <row r="355" ht="12.0" customHeight="1">
      <c r="A355" s="101"/>
      <c r="B355" s="101"/>
      <c r="C355" s="101"/>
      <c r="D355" s="101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</row>
    <row r="356" ht="12.0" customHeight="1">
      <c r="A356" s="101"/>
      <c r="B356" s="101"/>
      <c r="C356" s="101"/>
      <c r="D356" s="101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</row>
    <row r="357" ht="12.0" customHeight="1">
      <c r="A357" s="101"/>
      <c r="B357" s="101"/>
      <c r="C357" s="101"/>
      <c r="D357" s="101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</row>
    <row r="358" ht="12.0" customHeight="1">
      <c r="A358" s="101"/>
      <c r="B358" s="101"/>
      <c r="C358" s="101"/>
      <c r="D358" s="101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</row>
    <row r="359" ht="12.0" customHeight="1">
      <c r="A359" s="101"/>
      <c r="B359" s="101"/>
      <c r="C359" s="101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</row>
    <row r="360" ht="12.0" customHeight="1">
      <c r="A360" s="101"/>
      <c r="B360" s="101"/>
      <c r="C360" s="101"/>
      <c r="D360" s="101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</row>
    <row r="361" ht="12.0" customHeight="1">
      <c r="A361" s="101"/>
      <c r="B361" s="101"/>
      <c r="C361" s="101"/>
      <c r="D361" s="101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</row>
    <row r="362" ht="12.0" customHeight="1">
      <c r="A362" s="101"/>
      <c r="B362" s="101"/>
      <c r="C362" s="101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</row>
    <row r="363" ht="12.0" customHeight="1">
      <c r="A363" s="101"/>
      <c r="B363" s="101"/>
      <c r="C363" s="101"/>
      <c r="D363" s="101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</row>
    <row r="364" ht="12.0" customHeight="1">
      <c r="A364" s="101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</row>
    <row r="365" ht="12.0" customHeight="1">
      <c r="A365" s="101"/>
      <c r="B365" s="101"/>
      <c r="C365" s="101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</row>
    <row r="366" ht="12.0" customHeight="1">
      <c r="A366" s="101"/>
      <c r="B366" s="101"/>
      <c r="C366" s="101"/>
      <c r="D366" s="101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</row>
    <row r="367" ht="12.0" customHeight="1">
      <c r="A367" s="101"/>
      <c r="B367" s="101"/>
      <c r="C367" s="101"/>
      <c r="D367" s="101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</row>
    <row r="368" ht="12.0" customHeight="1">
      <c r="A368" s="101"/>
      <c r="B368" s="101"/>
      <c r="C368" s="101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</row>
    <row r="369" ht="12.0" customHeight="1">
      <c r="A369" s="101"/>
      <c r="B369" s="101"/>
      <c r="C369" s="101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</row>
    <row r="370" ht="12.0" customHeight="1">
      <c r="A370" s="101"/>
      <c r="B370" s="101"/>
      <c r="C370" s="101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</row>
    <row r="371" ht="12.0" customHeight="1">
      <c r="A371" s="101"/>
      <c r="B371" s="101"/>
      <c r="C371" s="101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</row>
    <row r="372" ht="12.0" customHeight="1">
      <c r="A372" s="101"/>
      <c r="B372" s="101"/>
      <c r="C372" s="101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</row>
    <row r="373" ht="12.0" customHeight="1">
      <c r="A373" s="101"/>
      <c r="B373" s="101"/>
      <c r="C373" s="101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</row>
    <row r="374" ht="12.0" customHeight="1">
      <c r="A374" s="101"/>
      <c r="B374" s="101"/>
      <c r="C374" s="101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</row>
    <row r="375" ht="12.0" customHeight="1">
      <c r="A375" s="101"/>
      <c r="B375" s="101"/>
      <c r="C375" s="101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</row>
    <row r="376" ht="12.0" customHeight="1">
      <c r="A376" s="101"/>
      <c r="B376" s="101"/>
      <c r="C376" s="101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</row>
    <row r="377" ht="12.0" customHeight="1">
      <c r="A377" s="101"/>
      <c r="B377" s="101"/>
      <c r="C377" s="101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</row>
    <row r="378" ht="12.0" customHeight="1">
      <c r="A378" s="101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</row>
    <row r="379" ht="12.0" customHeight="1">
      <c r="A379" s="101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</row>
    <row r="380" ht="12.0" customHeight="1">
      <c r="A380" s="101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</row>
    <row r="381" ht="12.0" customHeight="1">
      <c r="A381" s="101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</row>
    <row r="382" ht="12.0" customHeight="1">
      <c r="A382" s="101"/>
      <c r="B382" s="101"/>
      <c r="C382" s="101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</row>
    <row r="383" ht="12.0" customHeight="1">
      <c r="A383" s="101"/>
      <c r="B383" s="101"/>
      <c r="C383" s="101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</row>
    <row r="384" ht="12.0" customHeight="1">
      <c r="A384" s="101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</row>
    <row r="385" ht="12.0" customHeight="1">
      <c r="A385" s="101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</row>
    <row r="386" ht="12.0" customHeight="1">
      <c r="A386" s="101"/>
      <c r="B386" s="101"/>
      <c r="C386" s="101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</row>
    <row r="387" ht="12.0" customHeight="1">
      <c r="A387" s="101"/>
      <c r="B387" s="101"/>
      <c r="C387" s="101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</row>
    <row r="388" ht="12.0" customHeight="1">
      <c r="A388" s="101"/>
      <c r="B388" s="101"/>
      <c r="C388" s="101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</row>
    <row r="389" ht="12.0" customHeight="1">
      <c r="A389" s="101"/>
      <c r="B389" s="101"/>
      <c r="C389" s="101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</row>
    <row r="390" ht="12.0" customHeight="1">
      <c r="A390" s="101"/>
      <c r="B390" s="101"/>
      <c r="C390" s="101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</row>
    <row r="391" ht="12.0" customHeight="1">
      <c r="A391" s="101"/>
      <c r="B391" s="101"/>
      <c r="C391" s="101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</row>
    <row r="392" ht="12.0" customHeight="1">
      <c r="A392" s="101"/>
      <c r="B392" s="101"/>
      <c r="C392" s="101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</row>
    <row r="393" ht="12.0" customHeight="1">
      <c r="A393" s="101"/>
      <c r="B393" s="101"/>
      <c r="C393" s="101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</row>
    <row r="394" ht="12.0" customHeight="1">
      <c r="A394" s="101"/>
      <c r="B394" s="101"/>
      <c r="C394" s="101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</row>
    <row r="395" ht="12.0" customHeight="1">
      <c r="A395" s="101"/>
      <c r="B395" s="101"/>
      <c r="C395" s="101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</row>
    <row r="396" ht="12.0" customHeight="1">
      <c r="A396" s="101"/>
      <c r="B396" s="101"/>
      <c r="C396" s="101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</row>
    <row r="397" ht="12.0" customHeight="1">
      <c r="A397" s="101"/>
      <c r="B397" s="101"/>
      <c r="C397" s="101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</row>
    <row r="398" ht="12.0" customHeight="1">
      <c r="A398" s="101"/>
      <c r="B398" s="101"/>
      <c r="C398" s="101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</row>
    <row r="399" ht="12.0" customHeight="1">
      <c r="A399" s="101"/>
      <c r="B399" s="101"/>
      <c r="C399" s="101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</row>
    <row r="400" ht="12.0" customHeight="1">
      <c r="A400" s="101"/>
      <c r="B400" s="101"/>
      <c r="C400" s="101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</row>
    <row r="401" ht="12.0" customHeight="1">
      <c r="A401" s="101"/>
      <c r="B401" s="101"/>
      <c r="C401" s="101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</row>
    <row r="402" ht="12.0" customHeight="1">
      <c r="A402" s="101"/>
      <c r="B402" s="101"/>
      <c r="C402" s="101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</row>
    <row r="403" ht="12.0" customHeight="1">
      <c r="A403" s="101"/>
      <c r="B403" s="101"/>
      <c r="C403" s="101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</row>
    <row r="404" ht="12.0" customHeight="1">
      <c r="A404" s="101"/>
      <c r="B404" s="101"/>
      <c r="C404" s="101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</row>
    <row r="405" ht="12.0" customHeight="1">
      <c r="A405" s="101"/>
      <c r="B405" s="101"/>
      <c r="C405" s="101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</row>
    <row r="406" ht="12.0" customHeight="1">
      <c r="A406" s="101"/>
      <c r="B406" s="101"/>
      <c r="C406" s="101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</row>
    <row r="407" ht="12.0" customHeight="1">
      <c r="A407" s="101"/>
      <c r="B407" s="101"/>
      <c r="C407" s="101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</row>
    <row r="408" ht="12.0" customHeight="1">
      <c r="A408" s="101"/>
      <c r="B408" s="101"/>
      <c r="C408" s="101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</row>
    <row r="409" ht="12.0" customHeight="1">
      <c r="A409" s="101"/>
      <c r="B409" s="101"/>
      <c r="C409" s="101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</row>
    <row r="410" ht="12.0" customHeight="1">
      <c r="A410" s="101"/>
      <c r="B410" s="101"/>
      <c r="C410" s="101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</row>
    <row r="411" ht="12.0" customHeight="1">
      <c r="A411" s="101"/>
      <c r="B411" s="101"/>
      <c r="C411" s="101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</row>
    <row r="412" ht="12.0" customHeight="1">
      <c r="A412" s="101"/>
      <c r="B412" s="101"/>
      <c r="C412" s="101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</row>
    <row r="413" ht="12.0" customHeight="1">
      <c r="A413" s="101"/>
      <c r="B413" s="101"/>
      <c r="C413" s="101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</row>
    <row r="414" ht="12.0" customHeight="1">
      <c r="A414" s="101"/>
      <c r="B414" s="101"/>
      <c r="C414" s="101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</row>
    <row r="415" ht="12.0" customHeight="1">
      <c r="A415" s="101"/>
      <c r="B415" s="101"/>
      <c r="C415" s="101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</row>
    <row r="416" ht="12.0" customHeight="1">
      <c r="A416" s="101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</row>
    <row r="417" ht="12.0" customHeight="1">
      <c r="A417" s="101"/>
      <c r="B417" s="101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</row>
    <row r="418" ht="12.0" customHeight="1">
      <c r="A418" s="101"/>
      <c r="B418" s="101"/>
      <c r="C418" s="101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</row>
    <row r="419" ht="12.0" customHeight="1">
      <c r="A419" s="101"/>
      <c r="B419" s="101"/>
      <c r="C419" s="101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</row>
    <row r="420" ht="12.0" customHeight="1">
      <c r="A420" s="101"/>
      <c r="B420" s="101"/>
      <c r="C420" s="101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</row>
    <row r="421" ht="12.0" customHeight="1">
      <c r="A421" s="101"/>
      <c r="B421" s="101"/>
      <c r="C421" s="101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</row>
    <row r="422" ht="12.0" customHeight="1">
      <c r="A422" s="101"/>
      <c r="B422" s="101"/>
      <c r="C422" s="101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</row>
    <row r="423" ht="12.0" customHeight="1">
      <c r="A423" s="101"/>
      <c r="B423" s="101"/>
      <c r="C423" s="101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</row>
    <row r="424" ht="12.0" customHeight="1">
      <c r="A424" s="101"/>
      <c r="B424" s="101"/>
      <c r="C424" s="101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</row>
    <row r="425" ht="12.0" customHeight="1">
      <c r="A425" s="101"/>
      <c r="B425" s="101"/>
      <c r="C425" s="101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</row>
    <row r="426" ht="12.0" customHeight="1">
      <c r="A426" s="101"/>
      <c r="B426" s="101"/>
      <c r="C426" s="101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</row>
    <row r="427" ht="12.0" customHeight="1">
      <c r="A427" s="101"/>
      <c r="B427" s="101"/>
      <c r="C427" s="101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</row>
    <row r="428" ht="12.0" customHeight="1">
      <c r="A428" s="101"/>
      <c r="B428" s="101"/>
      <c r="C428" s="101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</row>
    <row r="429" ht="12.0" customHeight="1">
      <c r="A429" s="101"/>
      <c r="B429" s="101"/>
      <c r="C429" s="101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</row>
    <row r="430" ht="12.0" customHeight="1">
      <c r="A430" s="101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</row>
    <row r="431" ht="12.0" customHeight="1">
      <c r="A431" s="101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</row>
    <row r="432" ht="12.0" customHeight="1">
      <c r="A432" s="101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</row>
    <row r="433" ht="12.0" customHeight="1">
      <c r="A433" s="101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</row>
    <row r="434" ht="12.0" customHeight="1">
      <c r="A434" s="101"/>
      <c r="B434" s="101"/>
      <c r="C434" s="101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</row>
    <row r="435" ht="12.0" customHeight="1">
      <c r="A435" s="101"/>
      <c r="B435" s="101"/>
      <c r="C435" s="101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</row>
    <row r="436" ht="12.0" customHeight="1">
      <c r="A436" s="101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</row>
    <row r="437" ht="12.0" customHeight="1">
      <c r="A437" s="101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</row>
    <row r="438" ht="12.0" customHeight="1">
      <c r="A438" s="101"/>
      <c r="B438" s="101"/>
      <c r="C438" s="101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</row>
    <row r="439" ht="12.0" customHeight="1">
      <c r="A439" s="101"/>
      <c r="B439" s="101"/>
      <c r="C439" s="101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</row>
    <row r="440" ht="12.0" customHeight="1">
      <c r="A440" s="101"/>
      <c r="B440" s="101"/>
      <c r="C440" s="101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</row>
    <row r="441" ht="12.0" customHeight="1">
      <c r="A441" s="101"/>
      <c r="B441" s="101"/>
      <c r="C441" s="101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</row>
    <row r="442" ht="12.0" customHeight="1">
      <c r="A442" s="101"/>
      <c r="B442" s="101"/>
      <c r="C442" s="101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</row>
    <row r="443" ht="12.0" customHeight="1">
      <c r="A443" s="101"/>
      <c r="B443" s="101"/>
      <c r="C443" s="101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</row>
    <row r="444" ht="12.0" customHeight="1">
      <c r="A444" s="101"/>
      <c r="B444" s="101"/>
      <c r="C444" s="101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</row>
    <row r="445" ht="12.0" customHeight="1">
      <c r="A445" s="101"/>
      <c r="B445" s="101"/>
      <c r="C445" s="101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</row>
    <row r="446" ht="12.0" customHeight="1">
      <c r="A446" s="101"/>
      <c r="B446" s="101"/>
      <c r="C446" s="101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</row>
    <row r="447" ht="12.0" customHeight="1">
      <c r="A447" s="101"/>
      <c r="B447" s="101"/>
      <c r="C447" s="101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</row>
    <row r="448" ht="12.0" customHeight="1">
      <c r="A448" s="101"/>
      <c r="B448" s="101"/>
      <c r="C448" s="101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</row>
    <row r="449" ht="12.0" customHeight="1">
      <c r="A449" s="101"/>
      <c r="B449" s="101"/>
      <c r="C449" s="101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</row>
    <row r="450" ht="12.0" customHeight="1">
      <c r="A450" s="101"/>
      <c r="B450" s="101"/>
      <c r="C450" s="101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</row>
    <row r="451" ht="12.0" customHeight="1">
      <c r="A451" s="101"/>
      <c r="B451" s="101"/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</row>
    <row r="452" ht="12.0" customHeight="1">
      <c r="A452" s="101"/>
      <c r="B452" s="101"/>
      <c r="C452" s="101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</row>
    <row r="453" ht="12.0" customHeight="1">
      <c r="A453" s="101"/>
      <c r="B453" s="101"/>
      <c r="C453" s="101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</row>
    <row r="454" ht="12.0" customHeight="1">
      <c r="A454" s="101"/>
      <c r="B454" s="101"/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</row>
    <row r="455" ht="12.0" customHeight="1">
      <c r="A455" s="101"/>
      <c r="B455" s="101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</row>
    <row r="456" ht="12.0" customHeight="1">
      <c r="A456" s="101"/>
      <c r="B456" s="101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</row>
    <row r="457" ht="12.0" customHeight="1">
      <c r="A457" s="101"/>
      <c r="B457" s="101"/>
      <c r="C457" s="101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</row>
    <row r="458" ht="12.0" customHeight="1">
      <c r="A458" s="101"/>
      <c r="B458" s="101"/>
      <c r="C458" s="101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</row>
    <row r="459" ht="12.0" customHeight="1">
      <c r="A459" s="101"/>
      <c r="B459" s="101"/>
      <c r="C459" s="101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</row>
    <row r="460" ht="12.0" customHeight="1">
      <c r="A460" s="101"/>
      <c r="B460" s="101"/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</row>
    <row r="461" ht="12.0" customHeight="1">
      <c r="A461" s="101"/>
      <c r="B461" s="101"/>
      <c r="C461" s="101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</row>
    <row r="462" ht="12.0" customHeight="1">
      <c r="A462" s="101"/>
      <c r="B462" s="101"/>
      <c r="C462" s="101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</row>
    <row r="463" ht="12.0" customHeight="1">
      <c r="A463" s="101"/>
      <c r="B463" s="101"/>
      <c r="C463" s="101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</row>
    <row r="464" ht="12.0" customHeight="1">
      <c r="A464" s="101"/>
      <c r="B464" s="101"/>
      <c r="C464" s="101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</row>
    <row r="465" ht="12.0" customHeight="1">
      <c r="A465" s="101"/>
      <c r="B465" s="101"/>
      <c r="C465" s="101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</row>
    <row r="466" ht="12.0" customHeight="1">
      <c r="A466" s="101"/>
      <c r="B466" s="101"/>
      <c r="C466" s="101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</row>
    <row r="467" ht="12.0" customHeight="1">
      <c r="A467" s="101"/>
      <c r="B467" s="101"/>
      <c r="C467" s="101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</row>
    <row r="468" ht="12.0" customHeight="1">
      <c r="A468" s="101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</row>
    <row r="469" ht="12.0" customHeight="1">
      <c r="A469" s="101"/>
      <c r="B469" s="101"/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</row>
    <row r="470" ht="12.0" customHeight="1">
      <c r="A470" s="101"/>
      <c r="B470" s="101"/>
      <c r="C470" s="101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</row>
    <row r="471" ht="12.0" customHeight="1">
      <c r="A471" s="101"/>
      <c r="B471" s="101"/>
      <c r="C471" s="101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</row>
    <row r="472" ht="12.0" customHeight="1">
      <c r="A472" s="101"/>
      <c r="B472" s="101"/>
      <c r="C472" s="101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</row>
    <row r="473" ht="12.0" customHeight="1">
      <c r="A473" s="101"/>
      <c r="B473" s="101"/>
      <c r="C473" s="101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</row>
    <row r="474" ht="12.0" customHeight="1">
      <c r="A474" s="101"/>
      <c r="B474" s="101"/>
      <c r="C474" s="101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</row>
    <row r="475" ht="12.0" customHeight="1">
      <c r="A475" s="101"/>
      <c r="B475" s="101"/>
      <c r="C475" s="101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</row>
    <row r="476" ht="12.0" customHeight="1">
      <c r="A476" s="101"/>
      <c r="B476" s="101"/>
      <c r="C476" s="101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</row>
    <row r="477" ht="12.0" customHeight="1">
      <c r="A477" s="101"/>
      <c r="B477" s="101"/>
      <c r="C477" s="101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</row>
    <row r="478" ht="12.0" customHeight="1">
      <c r="A478" s="101"/>
      <c r="B478" s="101"/>
      <c r="C478" s="101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</row>
    <row r="479" ht="12.0" customHeight="1">
      <c r="A479" s="101"/>
      <c r="B479" s="101"/>
      <c r="C479" s="101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</row>
    <row r="480" ht="12.0" customHeight="1">
      <c r="A480" s="101"/>
      <c r="B480" s="101"/>
      <c r="C480" s="101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</row>
    <row r="481" ht="12.0" customHeight="1">
      <c r="A481" s="101"/>
      <c r="B481" s="101"/>
      <c r="C481" s="101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</row>
    <row r="482" ht="12.0" customHeight="1">
      <c r="A482" s="101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</row>
    <row r="483" ht="12.0" customHeight="1">
      <c r="A483" s="101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</row>
    <row r="484" ht="12.0" customHeight="1">
      <c r="A484" s="101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</row>
    <row r="485" ht="12.0" customHeight="1">
      <c r="A485" s="101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</row>
    <row r="486" ht="12.0" customHeight="1">
      <c r="A486" s="101"/>
      <c r="B486" s="101"/>
      <c r="C486" s="101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</row>
    <row r="487" ht="12.0" customHeight="1">
      <c r="A487" s="101"/>
      <c r="B487" s="101"/>
      <c r="C487" s="101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</row>
    <row r="488" ht="12.0" customHeight="1">
      <c r="A488" s="101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</row>
    <row r="489" ht="12.0" customHeight="1">
      <c r="A489" s="101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</row>
    <row r="490" ht="12.0" customHeight="1">
      <c r="A490" s="101"/>
      <c r="B490" s="101"/>
      <c r="C490" s="101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</row>
    <row r="491" ht="12.0" customHeight="1">
      <c r="A491" s="101"/>
      <c r="B491" s="101"/>
      <c r="C491" s="101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</row>
    <row r="492" ht="12.0" customHeight="1">
      <c r="A492" s="101"/>
      <c r="B492" s="101"/>
      <c r="C492" s="101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</row>
    <row r="493" ht="12.0" customHeight="1">
      <c r="A493" s="101"/>
      <c r="B493" s="101"/>
      <c r="C493" s="101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</row>
    <row r="494" ht="12.0" customHeight="1">
      <c r="A494" s="101"/>
      <c r="B494" s="101"/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</row>
    <row r="495" ht="12.0" customHeight="1">
      <c r="A495" s="101"/>
      <c r="B495" s="101"/>
      <c r="C495" s="101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</row>
    <row r="496" ht="12.0" customHeight="1">
      <c r="A496" s="101"/>
      <c r="B496" s="101"/>
      <c r="C496" s="101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</row>
    <row r="497" ht="12.0" customHeight="1">
      <c r="A497" s="101"/>
      <c r="B497" s="101"/>
      <c r="C497" s="101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</row>
    <row r="498" ht="12.0" customHeight="1">
      <c r="A498" s="101"/>
      <c r="B498" s="101"/>
      <c r="C498" s="101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</row>
    <row r="499" ht="12.0" customHeight="1">
      <c r="A499" s="101"/>
      <c r="B499" s="101"/>
      <c r="C499" s="101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</row>
    <row r="500" ht="12.0" customHeight="1">
      <c r="A500" s="101"/>
      <c r="B500" s="101"/>
      <c r="C500" s="101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</row>
    <row r="501" ht="12.0" customHeight="1">
      <c r="A501" s="101"/>
      <c r="B501" s="101"/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</row>
    <row r="502" ht="12.0" customHeight="1">
      <c r="A502" s="101"/>
      <c r="B502" s="101"/>
      <c r="C502" s="101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</row>
    <row r="503" ht="12.0" customHeight="1">
      <c r="A503" s="101"/>
      <c r="B503" s="101"/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</row>
    <row r="504" ht="12.0" customHeight="1">
      <c r="A504" s="101"/>
      <c r="B504" s="101"/>
      <c r="C504" s="101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</row>
    <row r="505" ht="12.0" customHeight="1">
      <c r="A505" s="101"/>
      <c r="B505" s="101"/>
      <c r="C505" s="101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</row>
    <row r="506" ht="12.0" customHeight="1">
      <c r="A506" s="101"/>
      <c r="B506" s="101"/>
      <c r="C506" s="101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</row>
    <row r="507" ht="12.0" customHeight="1">
      <c r="A507" s="101"/>
      <c r="B507" s="101"/>
      <c r="C507" s="101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</row>
    <row r="508" ht="12.0" customHeight="1">
      <c r="A508" s="101"/>
      <c r="B508" s="101"/>
      <c r="C508" s="101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</row>
    <row r="509" ht="12.0" customHeight="1">
      <c r="A509" s="101"/>
      <c r="B509" s="101"/>
      <c r="C509" s="101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</row>
    <row r="510" ht="12.0" customHeight="1">
      <c r="A510" s="101"/>
      <c r="B510" s="101"/>
      <c r="C510" s="101"/>
      <c r="D510" s="101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</row>
    <row r="511" ht="12.0" customHeight="1">
      <c r="A511" s="101"/>
      <c r="B511" s="101"/>
      <c r="C511" s="101"/>
      <c r="D511" s="101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</row>
    <row r="512" ht="12.0" customHeight="1">
      <c r="A512" s="101"/>
      <c r="B512" s="101"/>
      <c r="C512" s="101"/>
      <c r="D512" s="101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</row>
    <row r="513" ht="12.0" customHeight="1">
      <c r="A513" s="101"/>
      <c r="B513" s="101"/>
      <c r="C513" s="101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</row>
    <row r="514" ht="12.0" customHeight="1">
      <c r="A514" s="101"/>
      <c r="B514" s="101"/>
      <c r="C514" s="101"/>
      <c r="D514" s="101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</row>
    <row r="515" ht="12.0" customHeight="1">
      <c r="A515" s="101"/>
      <c r="B515" s="101"/>
      <c r="C515" s="101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</row>
    <row r="516" ht="12.0" customHeight="1">
      <c r="A516" s="101"/>
      <c r="B516" s="101"/>
      <c r="C516" s="101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</row>
    <row r="517" ht="12.0" customHeight="1">
      <c r="A517" s="101"/>
      <c r="B517" s="101"/>
      <c r="C517" s="101"/>
      <c r="D517" s="101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</row>
    <row r="518" ht="12.0" customHeight="1">
      <c r="A518" s="101"/>
      <c r="B518" s="101"/>
      <c r="C518" s="101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</row>
    <row r="519" ht="12.0" customHeight="1">
      <c r="A519" s="101"/>
      <c r="B519" s="101"/>
      <c r="C519" s="101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</row>
    <row r="520" ht="12.0" customHeight="1">
      <c r="A520" s="101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</row>
    <row r="521" ht="12.0" customHeight="1">
      <c r="A521" s="101"/>
      <c r="B521" s="101"/>
      <c r="C521" s="101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</row>
    <row r="522" ht="12.0" customHeight="1">
      <c r="A522" s="101"/>
      <c r="B522" s="101"/>
      <c r="C522" s="101"/>
      <c r="D522" s="101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</row>
    <row r="523" ht="12.0" customHeight="1">
      <c r="A523" s="101"/>
      <c r="B523" s="101"/>
      <c r="C523" s="101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</row>
    <row r="524" ht="12.0" customHeight="1">
      <c r="A524" s="101"/>
      <c r="B524" s="101"/>
      <c r="C524" s="101"/>
      <c r="D524" s="101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</row>
    <row r="525" ht="12.0" customHeight="1">
      <c r="A525" s="101"/>
      <c r="B525" s="101"/>
      <c r="C525" s="101"/>
      <c r="D525" s="101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</row>
    <row r="526" ht="12.0" customHeight="1">
      <c r="A526" s="101"/>
      <c r="B526" s="101"/>
      <c r="C526" s="101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</row>
    <row r="527" ht="12.0" customHeight="1">
      <c r="A527" s="101"/>
      <c r="B527" s="101"/>
      <c r="C527" s="101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</row>
    <row r="528" ht="12.0" customHeight="1">
      <c r="A528" s="101"/>
      <c r="B528" s="101"/>
      <c r="C528" s="101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</row>
    <row r="529" ht="12.0" customHeight="1">
      <c r="A529" s="101"/>
      <c r="B529" s="101"/>
      <c r="C529" s="101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</row>
    <row r="530" ht="12.0" customHeight="1">
      <c r="A530" s="101"/>
      <c r="B530" s="101"/>
      <c r="C530" s="101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</row>
    <row r="531" ht="12.0" customHeight="1">
      <c r="A531" s="101"/>
      <c r="B531" s="101"/>
      <c r="C531" s="101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</row>
    <row r="532" ht="12.0" customHeight="1">
      <c r="A532" s="101"/>
      <c r="B532" s="101"/>
      <c r="C532" s="101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</row>
    <row r="533" ht="12.0" customHeight="1">
      <c r="A533" s="101"/>
      <c r="B533" s="101"/>
      <c r="C533" s="101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</row>
    <row r="534" ht="12.0" customHeight="1">
      <c r="A534" s="101"/>
      <c r="B534" s="101"/>
      <c r="C534" s="101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</row>
    <row r="535" ht="12.0" customHeight="1">
      <c r="A535" s="101"/>
      <c r="B535" s="101"/>
      <c r="C535" s="101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</row>
    <row r="536" ht="12.0" customHeight="1">
      <c r="A536" s="101"/>
      <c r="B536" s="101"/>
      <c r="C536" s="101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</row>
    <row r="537" ht="12.0" customHeight="1">
      <c r="A537" s="101"/>
      <c r="B537" s="101"/>
      <c r="C537" s="101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</row>
    <row r="538" ht="12.0" customHeight="1">
      <c r="A538" s="101"/>
      <c r="B538" s="101"/>
      <c r="C538" s="101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</row>
    <row r="539" ht="12.0" customHeight="1">
      <c r="A539" s="101"/>
      <c r="B539" s="101"/>
      <c r="C539" s="101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</row>
    <row r="540" ht="12.0" customHeight="1">
      <c r="A540" s="101"/>
      <c r="B540" s="101"/>
      <c r="C540" s="101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</row>
    <row r="541" ht="12.0" customHeight="1">
      <c r="A541" s="101"/>
      <c r="B541" s="101"/>
      <c r="C541" s="101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</row>
    <row r="542" ht="12.0" customHeight="1">
      <c r="A542" s="101"/>
      <c r="B542" s="101"/>
      <c r="C542" s="101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</row>
    <row r="543" ht="12.0" customHeight="1">
      <c r="A543" s="101"/>
      <c r="B543" s="101"/>
      <c r="C543" s="101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</row>
    <row r="544" ht="12.0" customHeight="1">
      <c r="A544" s="101"/>
      <c r="B544" s="101"/>
      <c r="C544" s="101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</row>
    <row r="545" ht="12.0" customHeight="1">
      <c r="A545" s="101"/>
      <c r="B545" s="101"/>
      <c r="C545" s="101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</row>
    <row r="546" ht="12.0" customHeight="1">
      <c r="A546" s="101"/>
      <c r="B546" s="101"/>
      <c r="C546" s="101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</row>
    <row r="547" ht="12.0" customHeight="1">
      <c r="A547" s="101"/>
      <c r="B547" s="101"/>
      <c r="C547" s="101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</row>
    <row r="548" ht="12.0" customHeight="1">
      <c r="A548" s="101"/>
      <c r="B548" s="101"/>
      <c r="C548" s="101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</row>
    <row r="549" ht="12.0" customHeight="1">
      <c r="A549" s="101"/>
      <c r="B549" s="101"/>
      <c r="C549" s="101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</row>
    <row r="550" ht="12.0" customHeight="1">
      <c r="A550" s="101"/>
      <c r="B550" s="101"/>
      <c r="C550" s="101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</row>
    <row r="551" ht="12.0" customHeight="1">
      <c r="A551" s="101"/>
      <c r="B551" s="101"/>
      <c r="C551" s="101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</row>
    <row r="552" ht="12.0" customHeight="1">
      <c r="A552" s="101"/>
      <c r="B552" s="101"/>
      <c r="C552" s="101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</row>
    <row r="553" ht="12.0" customHeight="1">
      <c r="A553" s="101"/>
      <c r="B553" s="101"/>
      <c r="C553" s="101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</row>
    <row r="554" ht="12.0" customHeight="1">
      <c r="A554" s="101"/>
      <c r="B554" s="101"/>
      <c r="C554" s="101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</row>
    <row r="555" ht="12.0" customHeight="1">
      <c r="A555" s="101"/>
      <c r="B555" s="101"/>
      <c r="C555" s="101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</row>
    <row r="556" ht="12.0" customHeight="1">
      <c r="A556" s="101"/>
      <c r="B556" s="101"/>
      <c r="C556" s="101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</row>
    <row r="557" ht="12.0" customHeight="1">
      <c r="A557" s="101"/>
      <c r="B557" s="101"/>
      <c r="C557" s="101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</row>
    <row r="558" ht="12.0" customHeight="1">
      <c r="A558" s="101"/>
      <c r="B558" s="101"/>
      <c r="C558" s="101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</row>
    <row r="559" ht="12.0" customHeight="1">
      <c r="A559" s="101"/>
      <c r="B559" s="101"/>
      <c r="C559" s="101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</row>
    <row r="560" ht="12.0" customHeight="1">
      <c r="A560" s="101"/>
      <c r="B560" s="101"/>
      <c r="C560" s="101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</row>
    <row r="561" ht="12.0" customHeight="1">
      <c r="A561" s="101"/>
      <c r="B561" s="101"/>
      <c r="C561" s="101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</row>
    <row r="562" ht="12.0" customHeight="1">
      <c r="A562" s="101"/>
      <c r="B562" s="101"/>
      <c r="C562" s="101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</row>
    <row r="563" ht="12.0" customHeight="1">
      <c r="A563" s="101"/>
      <c r="B563" s="101"/>
      <c r="C563" s="101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</row>
    <row r="564" ht="12.0" customHeight="1">
      <c r="A564" s="101"/>
      <c r="B564" s="101"/>
      <c r="C564" s="101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</row>
    <row r="565" ht="12.0" customHeight="1">
      <c r="A565" s="101"/>
      <c r="B565" s="101"/>
      <c r="C565" s="101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</row>
    <row r="566" ht="12.0" customHeight="1">
      <c r="A566" s="101"/>
      <c r="B566" s="101"/>
      <c r="C566" s="101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</row>
    <row r="567" ht="12.0" customHeight="1">
      <c r="A567" s="101"/>
      <c r="B567" s="101"/>
      <c r="C567" s="101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</row>
    <row r="568" ht="12.0" customHeight="1">
      <c r="A568" s="101"/>
      <c r="B568" s="101"/>
      <c r="C568" s="101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</row>
    <row r="569" ht="12.0" customHeight="1">
      <c r="A569" s="101"/>
      <c r="B569" s="101"/>
      <c r="C569" s="101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</row>
    <row r="570" ht="12.0" customHeight="1">
      <c r="A570" s="101"/>
      <c r="B570" s="101"/>
      <c r="C570" s="101"/>
      <c r="D570" s="101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</row>
    <row r="571" ht="12.0" customHeight="1">
      <c r="A571" s="101"/>
      <c r="B571" s="101"/>
      <c r="C571" s="101"/>
      <c r="D571" s="101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</row>
    <row r="572" ht="12.0" customHeight="1">
      <c r="A572" s="101"/>
      <c r="B572" s="101"/>
      <c r="C572" s="101"/>
      <c r="D572" s="101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</row>
    <row r="573" ht="12.0" customHeight="1">
      <c r="A573" s="101"/>
      <c r="B573" s="101"/>
      <c r="C573" s="101"/>
      <c r="D573" s="101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</row>
    <row r="574" ht="12.0" customHeight="1">
      <c r="A574" s="101"/>
      <c r="B574" s="101"/>
      <c r="C574" s="101"/>
      <c r="D574" s="101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</row>
    <row r="575" ht="12.0" customHeight="1">
      <c r="A575" s="101"/>
      <c r="B575" s="101"/>
      <c r="C575" s="101"/>
      <c r="D575" s="101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</row>
    <row r="576" ht="12.0" customHeight="1">
      <c r="A576" s="101"/>
      <c r="B576" s="101"/>
      <c r="C576" s="101"/>
      <c r="D576" s="101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</row>
    <row r="577" ht="12.0" customHeight="1">
      <c r="A577" s="101"/>
      <c r="B577" s="101"/>
      <c r="C577" s="101"/>
      <c r="D577" s="101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</row>
    <row r="578" ht="12.0" customHeight="1">
      <c r="A578" s="101"/>
      <c r="B578" s="101"/>
      <c r="C578" s="101"/>
      <c r="D578" s="101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</row>
    <row r="579" ht="12.0" customHeight="1">
      <c r="A579" s="101"/>
      <c r="B579" s="101"/>
      <c r="C579" s="101"/>
      <c r="D579" s="101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</row>
    <row r="580" ht="12.0" customHeight="1">
      <c r="A580" s="101"/>
      <c r="B580" s="101"/>
      <c r="C580" s="101"/>
      <c r="D580" s="101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</row>
    <row r="581" ht="12.0" customHeight="1">
      <c r="A581" s="101"/>
      <c r="B581" s="101"/>
      <c r="C581" s="101"/>
      <c r="D581" s="101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</row>
    <row r="582" ht="12.0" customHeight="1">
      <c r="A582" s="101"/>
      <c r="B582" s="101"/>
      <c r="C582" s="101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</row>
    <row r="583" ht="12.0" customHeight="1">
      <c r="A583" s="101"/>
      <c r="B583" s="101"/>
      <c r="C583" s="101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</row>
    <row r="584" ht="12.0" customHeight="1">
      <c r="A584" s="101"/>
      <c r="B584" s="101"/>
      <c r="C584" s="101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</row>
    <row r="585" ht="12.0" customHeight="1">
      <c r="A585" s="101"/>
      <c r="B585" s="101"/>
      <c r="C585" s="101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</row>
    <row r="586" ht="12.0" customHeight="1">
      <c r="A586" s="101"/>
      <c r="B586" s="101"/>
      <c r="C586" s="101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</row>
    <row r="587" ht="12.0" customHeight="1">
      <c r="A587" s="101"/>
      <c r="B587" s="101"/>
      <c r="C587" s="101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</row>
    <row r="588" ht="12.0" customHeight="1">
      <c r="A588" s="101"/>
      <c r="B588" s="101"/>
      <c r="C588" s="101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</row>
    <row r="589" ht="12.0" customHeight="1">
      <c r="A589" s="101"/>
      <c r="B589" s="101"/>
      <c r="C589" s="101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</row>
    <row r="590" ht="12.0" customHeight="1">
      <c r="A590" s="101"/>
      <c r="B590" s="101"/>
      <c r="C590" s="101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</row>
    <row r="591" ht="12.0" customHeight="1">
      <c r="A591" s="101"/>
      <c r="B591" s="101"/>
      <c r="C591" s="101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</row>
    <row r="592" ht="12.0" customHeight="1">
      <c r="A592" s="101"/>
      <c r="B592" s="101"/>
      <c r="C592" s="101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</row>
    <row r="593" ht="12.0" customHeight="1">
      <c r="A593" s="101"/>
      <c r="B593" s="101"/>
      <c r="C593" s="101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</row>
    <row r="594" ht="12.0" customHeight="1">
      <c r="A594" s="101"/>
      <c r="B594" s="101"/>
      <c r="C594" s="101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</row>
    <row r="595" ht="12.0" customHeight="1">
      <c r="A595" s="101"/>
      <c r="B595" s="101"/>
      <c r="C595" s="101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</row>
    <row r="596" ht="12.0" customHeight="1">
      <c r="A596" s="101"/>
      <c r="B596" s="101"/>
      <c r="C596" s="101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</row>
    <row r="597" ht="12.0" customHeight="1">
      <c r="A597" s="101"/>
      <c r="B597" s="101"/>
      <c r="C597" s="101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</row>
    <row r="598" ht="12.0" customHeight="1">
      <c r="A598" s="101"/>
      <c r="B598" s="101"/>
      <c r="C598" s="101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</row>
    <row r="599" ht="12.0" customHeight="1">
      <c r="A599" s="101"/>
      <c r="B599" s="101"/>
      <c r="C599" s="101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</row>
    <row r="600" ht="12.0" customHeight="1">
      <c r="A600" s="101"/>
      <c r="B600" s="101"/>
      <c r="C600" s="101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</row>
    <row r="601" ht="12.0" customHeight="1">
      <c r="A601" s="101"/>
      <c r="B601" s="101"/>
      <c r="C601" s="101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</row>
    <row r="602" ht="12.0" customHeight="1">
      <c r="A602" s="101"/>
      <c r="B602" s="101"/>
      <c r="C602" s="101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</row>
    <row r="603" ht="12.0" customHeight="1">
      <c r="A603" s="101"/>
      <c r="B603" s="101"/>
      <c r="C603" s="101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</row>
    <row r="604" ht="12.0" customHeight="1">
      <c r="A604" s="101"/>
      <c r="B604" s="101"/>
      <c r="C604" s="101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</row>
    <row r="605" ht="12.0" customHeight="1">
      <c r="A605" s="101"/>
      <c r="B605" s="101"/>
      <c r="C605" s="101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</row>
    <row r="606" ht="12.0" customHeight="1">
      <c r="A606" s="101"/>
      <c r="B606" s="101"/>
      <c r="C606" s="101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</row>
    <row r="607" ht="12.0" customHeight="1">
      <c r="A607" s="101"/>
      <c r="B607" s="101"/>
      <c r="C607" s="101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</row>
    <row r="608" ht="12.0" customHeight="1">
      <c r="A608" s="101"/>
      <c r="B608" s="101"/>
      <c r="C608" s="101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</row>
    <row r="609" ht="12.0" customHeight="1">
      <c r="A609" s="101"/>
      <c r="B609" s="101"/>
      <c r="C609" s="101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</row>
    <row r="610" ht="12.0" customHeight="1">
      <c r="A610" s="101"/>
      <c r="B610" s="101"/>
      <c r="C610" s="101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</row>
    <row r="611" ht="12.0" customHeight="1">
      <c r="A611" s="101"/>
      <c r="B611" s="101"/>
      <c r="C611" s="101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</row>
    <row r="612" ht="12.0" customHeight="1">
      <c r="A612" s="101"/>
      <c r="B612" s="101"/>
      <c r="C612" s="101"/>
      <c r="D612" s="101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</row>
    <row r="613" ht="12.0" customHeight="1">
      <c r="A613" s="101"/>
      <c r="B613" s="101"/>
      <c r="C613" s="101"/>
      <c r="D613" s="101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</row>
    <row r="614" ht="12.0" customHeight="1">
      <c r="A614" s="101"/>
      <c r="B614" s="101"/>
      <c r="C614" s="101"/>
      <c r="D614" s="101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</row>
    <row r="615" ht="12.0" customHeight="1">
      <c r="A615" s="101"/>
      <c r="B615" s="101"/>
      <c r="C615" s="101"/>
      <c r="D615" s="101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</row>
    <row r="616" ht="12.0" customHeight="1">
      <c r="A616" s="101"/>
      <c r="B616" s="101"/>
      <c r="C616" s="101"/>
      <c r="D616" s="101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</row>
    <row r="617" ht="12.0" customHeight="1">
      <c r="A617" s="101"/>
      <c r="B617" s="101"/>
      <c r="C617" s="101"/>
      <c r="D617" s="101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</row>
    <row r="618" ht="12.0" customHeight="1">
      <c r="A618" s="101"/>
      <c r="B618" s="101"/>
      <c r="C618" s="101"/>
      <c r="D618" s="101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</row>
    <row r="619" ht="12.0" customHeight="1">
      <c r="A619" s="101"/>
      <c r="B619" s="101"/>
      <c r="C619" s="101"/>
      <c r="D619" s="101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</row>
    <row r="620" ht="12.0" customHeight="1">
      <c r="A620" s="101"/>
      <c r="B620" s="101"/>
      <c r="C620" s="101"/>
      <c r="D620" s="101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</row>
    <row r="621" ht="12.0" customHeight="1">
      <c r="A621" s="101"/>
      <c r="B621" s="101"/>
      <c r="C621" s="101"/>
      <c r="D621" s="101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</row>
    <row r="622" ht="12.0" customHeight="1">
      <c r="A622" s="101"/>
      <c r="B622" s="101"/>
      <c r="C622" s="101"/>
      <c r="D622" s="101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</row>
    <row r="623" ht="12.0" customHeight="1">
      <c r="A623" s="101"/>
      <c r="B623" s="101"/>
      <c r="C623" s="101"/>
      <c r="D623" s="101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</row>
    <row r="624" ht="12.0" customHeight="1">
      <c r="A624" s="101"/>
      <c r="B624" s="101"/>
      <c r="C624" s="101"/>
      <c r="D624" s="101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</row>
    <row r="625" ht="12.0" customHeight="1">
      <c r="A625" s="101"/>
      <c r="B625" s="101"/>
      <c r="C625" s="101"/>
      <c r="D625" s="101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</row>
    <row r="626" ht="12.0" customHeight="1">
      <c r="A626" s="101"/>
      <c r="B626" s="101"/>
      <c r="C626" s="101"/>
      <c r="D626" s="101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</row>
    <row r="627" ht="12.0" customHeight="1">
      <c r="A627" s="101"/>
      <c r="B627" s="101"/>
      <c r="C627" s="101"/>
      <c r="D627" s="101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</row>
    <row r="628" ht="12.0" customHeight="1">
      <c r="A628" s="101"/>
      <c r="B628" s="101"/>
      <c r="C628" s="101"/>
      <c r="D628" s="101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</row>
    <row r="629" ht="12.0" customHeight="1">
      <c r="A629" s="101"/>
      <c r="B629" s="101"/>
      <c r="C629" s="101"/>
      <c r="D629" s="101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</row>
    <row r="630" ht="12.0" customHeight="1">
      <c r="A630" s="101"/>
      <c r="B630" s="101"/>
      <c r="C630" s="101"/>
      <c r="D630" s="101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</row>
    <row r="631" ht="12.0" customHeight="1">
      <c r="A631" s="101"/>
      <c r="B631" s="101"/>
      <c r="C631" s="101"/>
      <c r="D631" s="101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</row>
    <row r="632" ht="12.0" customHeight="1">
      <c r="A632" s="101"/>
      <c r="B632" s="101"/>
      <c r="C632" s="101"/>
      <c r="D632" s="101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</row>
    <row r="633" ht="12.0" customHeight="1">
      <c r="A633" s="101"/>
      <c r="B633" s="101"/>
      <c r="C633" s="101"/>
      <c r="D633" s="101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</row>
    <row r="634" ht="12.0" customHeight="1">
      <c r="A634" s="101"/>
      <c r="B634" s="101"/>
      <c r="C634" s="101"/>
      <c r="D634" s="101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</row>
    <row r="635" ht="12.0" customHeight="1">
      <c r="A635" s="101"/>
      <c r="B635" s="101"/>
      <c r="C635" s="101"/>
      <c r="D635" s="101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</row>
    <row r="636" ht="12.0" customHeight="1">
      <c r="A636" s="101"/>
      <c r="B636" s="101"/>
      <c r="C636" s="101"/>
      <c r="D636" s="101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</row>
    <row r="637" ht="12.0" customHeight="1">
      <c r="A637" s="101"/>
      <c r="B637" s="101"/>
      <c r="C637" s="101"/>
      <c r="D637" s="101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</row>
    <row r="638" ht="12.0" customHeight="1">
      <c r="A638" s="101"/>
      <c r="B638" s="101"/>
      <c r="C638" s="101"/>
      <c r="D638" s="101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</row>
    <row r="639" ht="12.0" customHeight="1">
      <c r="A639" s="101"/>
      <c r="B639" s="101"/>
      <c r="C639" s="101"/>
      <c r="D639" s="101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</row>
    <row r="640" ht="12.0" customHeight="1">
      <c r="A640" s="101"/>
      <c r="B640" s="101"/>
      <c r="C640" s="101"/>
      <c r="D640" s="101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</row>
    <row r="641" ht="12.0" customHeight="1">
      <c r="A641" s="101"/>
      <c r="B641" s="101"/>
      <c r="C641" s="101"/>
      <c r="D641" s="101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</row>
    <row r="642" ht="12.0" customHeight="1">
      <c r="A642" s="101"/>
      <c r="B642" s="101"/>
      <c r="C642" s="101"/>
      <c r="D642" s="101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</row>
    <row r="643" ht="12.0" customHeight="1">
      <c r="A643" s="101"/>
      <c r="B643" s="101"/>
      <c r="C643" s="101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</row>
    <row r="644" ht="12.0" customHeight="1">
      <c r="A644" s="101"/>
      <c r="B644" s="101"/>
      <c r="C644" s="101"/>
      <c r="D644" s="101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</row>
    <row r="645" ht="12.0" customHeight="1">
      <c r="A645" s="101"/>
      <c r="B645" s="101"/>
      <c r="C645" s="101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</row>
    <row r="646" ht="12.0" customHeight="1">
      <c r="A646" s="101"/>
      <c r="B646" s="101"/>
      <c r="C646" s="101"/>
      <c r="D646" s="101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</row>
    <row r="647" ht="12.0" customHeight="1">
      <c r="A647" s="101"/>
      <c r="B647" s="101"/>
      <c r="C647" s="101"/>
      <c r="D647" s="101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</row>
    <row r="648" ht="12.0" customHeight="1">
      <c r="A648" s="101"/>
      <c r="B648" s="101"/>
      <c r="C648" s="101"/>
      <c r="D648" s="101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</row>
    <row r="649" ht="12.0" customHeight="1">
      <c r="A649" s="101"/>
      <c r="B649" s="101"/>
      <c r="C649" s="101"/>
      <c r="D649" s="101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</row>
    <row r="650" ht="12.0" customHeight="1">
      <c r="A650" s="101"/>
      <c r="B650" s="101"/>
      <c r="C650" s="101"/>
      <c r="D650" s="101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</row>
    <row r="651" ht="12.0" customHeight="1">
      <c r="A651" s="101"/>
      <c r="B651" s="101"/>
      <c r="C651" s="101"/>
      <c r="D651" s="101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</row>
    <row r="652" ht="12.0" customHeight="1">
      <c r="A652" s="101"/>
      <c r="B652" s="101"/>
      <c r="C652" s="101"/>
      <c r="D652" s="101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</row>
    <row r="653" ht="12.0" customHeight="1">
      <c r="A653" s="101"/>
      <c r="B653" s="101"/>
      <c r="C653" s="101"/>
      <c r="D653" s="101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</row>
    <row r="654" ht="12.0" customHeight="1">
      <c r="A654" s="101"/>
      <c r="B654" s="101"/>
      <c r="C654" s="101"/>
      <c r="D654" s="101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</row>
    <row r="655" ht="12.0" customHeight="1">
      <c r="A655" s="101"/>
      <c r="B655" s="101"/>
      <c r="C655" s="101"/>
      <c r="D655" s="101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</row>
    <row r="656" ht="12.0" customHeight="1">
      <c r="A656" s="101"/>
      <c r="B656" s="101"/>
      <c r="C656" s="101"/>
      <c r="D656" s="101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</row>
    <row r="657" ht="12.0" customHeight="1">
      <c r="A657" s="101"/>
      <c r="B657" s="101"/>
      <c r="C657" s="101"/>
      <c r="D657" s="101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</row>
    <row r="658" ht="12.0" customHeight="1">
      <c r="A658" s="101"/>
      <c r="B658" s="101"/>
      <c r="C658" s="101"/>
      <c r="D658" s="101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</row>
    <row r="659" ht="12.0" customHeight="1">
      <c r="A659" s="101"/>
      <c r="B659" s="101"/>
      <c r="C659" s="101"/>
      <c r="D659" s="101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</row>
    <row r="660" ht="12.0" customHeight="1">
      <c r="A660" s="101"/>
      <c r="B660" s="101"/>
      <c r="C660" s="101"/>
      <c r="D660" s="101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</row>
    <row r="661" ht="12.0" customHeight="1">
      <c r="A661" s="101"/>
      <c r="B661" s="101"/>
      <c r="C661" s="101"/>
      <c r="D661" s="101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</row>
    <row r="662" ht="12.0" customHeight="1">
      <c r="A662" s="101"/>
      <c r="B662" s="101"/>
      <c r="C662" s="101"/>
      <c r="D662" s="101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</row>
    <row r="663" ht="12.0" customHeight="1">
      <c r="A663" s="101"/>
      <c r="B663" s="101"/>
      <c r="C663" s="101"/>
      <c r="D663" s="101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</row>
    <row r="664" ht="12.0" customHeight="1">
      <c r="A664" s="101"/>
      <c r="B664" s="101"/>
      <c r="C664" s="101"/>
      <c r="D664" s="101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</row>
    <row r="665" ht="12.0" customHeight="1">
      <c r="A665" s="101"/>
      <c r="B665" s="101"/>
      <c r="C665" s="101"/>
      <c r="D665" s="101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</row>
    <row r="666" ht="12.0" customHeight="1">
      <c r="A666" s="101"/>
      <c r="B666" s="101"/>
      <c r="C666" s="101"/>
      <c r="D666" s="101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</row>
    <row r="667" ht="12.0" customHeight="1">
      <c r="A667" s="101"/>
      <c r="B667" s="101"/>
      <c r="C667" s="101"/>
      <c r="D667" s="101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</row>
    <row r="668" ht="12.0" customHeight="1">
      <c r="A668" s="101"/>
      <c r="B668" s="101"/>
      <c r="C668" s="101"/>
      <c r="D668" s="101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</row>
    <row r="669" ht="12.0" customHeight="1">
      <c r="A669" s="101"/>
      <c r="B669" s="101"/>
      <c r="C669" s="101"/>
      <c r="D669" s="101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</row>
    <row r="670" ht="12.0" customHeight="1">
      <c r="A670" s="101"/>
      <c r="B670" s="101"/>
      <c r="C670" s="101"/>
      <c r="D670" s="101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</row>
    <row r="671" ht="12.0" customHeight="1">
      <c r="A671" s="101"/>
      <c r="B671" s="101"/>
      <c r="C671" s="101"/>
      <c r="D671" s="101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</row>
    <row r="672" ht="12.0" customHeight="1">
      <c r="A672" s="101"/>
      <c r="B672" s="101"/>
      <c r="C672" s="101"/>
      <c r="D672" s="101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</row>
    <row r="673" ht="12.0" customHeight="1">
      <c r="A673" s="101"/>
      <c r="B673" s="101"/>
      <c r="C673" s="101"/>
      <c r="D673" s="101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</row>
    <row r="674" ht="12.0" customHeight="1">
      <c r="A674" s="101"/>
      <c r="B674" s="101"/>
      <c r="C674" s="101"/>
      <c r="D674" s="101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</row>
    <row r="675" ht="12.0" customHeight="1">
      <c r="A675" s="101"/>
      <c r="B675" s="101"/>
      <c r="C675" s="101"/>
      <c r="D675" s="101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</row>
    <row r="676" ht="12.0" customHeight="1">
      <c r="A676" s="101"/>
      <c r="B676" s="101"/>
      <c r="C676" s="101"/>
      <c r="D676" s="101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</row>
    <row r="677" ht="12.0" customHeight="1">
      <c r="A677" s="101"/>
      <c r="B677" s="101"/>
      <c r="C677" s="101"/>
      <c r="D677" s="101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</row>
    <row r="678" ht="12.0" customHeight="1">
      <c r="A678" s="101"/>
      <c r="B678" s="101"/>
      <c r="C678" s="101"/>
      <c r="D678" s="101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</row>
    <row r="679" ht="12.0" customHeight="1">
      <c r="A679" s="101"/>
      <c r="B679" s="101"/>
      <c r="C679" s="101"/>
      <c r="D679" s="101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</row>
    <row r="680" ht="12.0" customHeight="1">
      <c r="A680" s="101"/>
      <c r="B680" s="101"/>
      <c r="C680" s="101"/>
      <c r="D680" s="101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</row>
    <row r="681" ht="12.0" customHeight="1">
      <c r="A681" s="101"/>
      <c r="B681" s="101"/>
      <c r="C681" s="101"/>
      <c r="D681" s="101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</row>
    <row r="682" ht="12.0" customHeight="1">
      <c r="A682" s="101"/>
      <c r="B682" s="101"/>
      <c r="C682" s="101"/>
      <c r="D682" s="101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</row>
    <row r="683" ht="12.0" customHeight="1">
      <c r="A683" s="101"/>
      <c r="B683" s="101"/>
      <c r="C683" s="101"/>
      <c r="D683" s="101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</row>
    <row r="684" ht="12.0" customHeight="1">
      <c r="A684" s="101"/>
      <c r="B684" s="101"/>
      <c r="C684" s="101"/>
      <c r="D684" s="101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</row>
    <row r="685" ht="12.0" customHeight="1">
      <c r="A685" s="101"/>
      <c r="B685" s="101"/>
      <c r="C685" s="101"/>
      <c r="D685" s="101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</row>
    <row r="686" ht="12.0" customHeight="1">
      <c r="A686" s="101"/>
      <c r="B686" s="101"/>
      <c r="C686" s="101"/>
      <c r="D686" s="101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</row>
    <row r="687" ht="12.0" customHeight="1">
      <c r="A687" s="101"/>
      <c r="B687" s="101"/>
      <c r="C687" s="101"/>
      <c r="D687" s="101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</row>
    <row r="688" ht="12.0" customHeight="1">
      <c r="A688" s="101"/>
      <c r="B688" s="101"/>
      <c r="C688" s="101"/>
      <c r="D688" s="101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</row>
    <row r="689" ht="12.0" customHeight="1">
      <c r="A689" s="101"/>
      <c r="B689" s="101"/>
      <c r="C689" s="101"/>
      <c r="D689" s="101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</row>
    <row r="690" ht="12.0" customHeight="1">
      <c r="A690" s="101"/>
      <c r="B690" s="101"/>
      <c r="C690" s="101"/>
      <c r="D690" s="101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</row>
    <row r="691" ht="12.0" customHeight="1">
      <c r="A691" s="101"/>
      <c r="B691" s="101"/>
      <c r="C691" s="101"/>
      <c r="D691" s="101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</row>
    <row r="692" ht="12.0" customHeight="1">
      <c r="A692" s="101"/>
      <c r="B692" s="101"/>
      <c r="C692" s="101"/>
      <c r="D692" s="101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</row>
    <row r="693" ht="12.0" customHeight="1">
      <c r="A693" s="101"/>
      <c r="B693" s="101"/>
      <c r="C693" s="101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</row>
    <row r="694" ht="12.0" customHeight="1">
      <c r="A694" s="101"/>
      <c r="B694" s="101"/>
      <c r="C694" s="101"/>
      <c r="D694" s="101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</row>
    <row r="695" ht="12.0" customHeight="1">
      <c r="A695" s="101"/>
      <c r="B695" s="101"/>
      <c r="C695" s="101"/>
      <c r="D695" s="101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</row>
    <row r="696" ht="12.0" customHeight="1">
      <c r="A696" s="101"/>
      <c r="B696" s="101"/>
      <c r="C696" s="101"/>
      <c r="D696" s="101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</row>
    <row r="697" ht="12.0" customHeight="1">
      <c r="A697" s="101"/>
      <c r="B697" s="101"/>
      <c r="C697" s="101"/>
      <c r="D697" s="101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</row>
    <row r="698" ht="12.0" customHeight="1">
      <c r="A698" s="101"/>
      <c r="B698" s="101"/>
      <c r="C698" s="101"/>
      <c r="D698" s="101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</row>
    <row r="699" ht="12.0" customHeight="1">
      <c r="A699" s="101"/>
      <c r="B699" s="101"/>
      <c r="C699" s="101"/>
      <c r="D699" s="101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</row>
    <row r="700" ht="12.0" customHeight="1">
      <c r="A700" s="101"/>
      <c r="B700" s="101"/>
      <c r="C700" s="101"/>
      <c r="D700" s="101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</row>
    <row r="701" ht="12.0" customHeight="1">
      <c r="A701" s="101"/>
      <c r="B701" s="101"/>
      <c r="C701" s="101"/>
      <c r="D701" s="101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</row>
    <row r="702" ht="12.0" customHeight="1">
      <c r="A702" s="101"/>
      <c r="B702" s="101"/>
      <c r="C702" s="101"/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</row>
    <row r="703" ht="12.0" customHeight="1">
      <c r="A703" s="101"/>
      <c r="B703" s="101"/>
      <c r="C703" s="101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</row>
    <row r="704" ht="12.0" customHeight="1">
      <c r="A704" s="101"/>
      <c r="B704" s="101"/>
      <c r="C704" s="101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</row>
    <row r="705" ht="12.0" customHeight="1">
      <c r="A705" s="101"/>
      <c r="B705" s="101"/>
      <c r="C705" s="101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</row>
    <row r="706" ht="12.0" customHeight="1">
      <c r="A706" s="101"/>
      <c r="B706" s="101"/>
      <c r="C706" s="101"/>
      <c r="D706" s="101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</row>
    <row r="707" ht="12.0" customHeight="1">
      <c r="A707" s="101"/>
      <c r="B707" s="101"/>
      <c r="C707" s="101"/>
      <c r="D707" s="101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</row>
    <row r="708" ht="12.0" customHeight="1">
      <c r="A708" s="101"/>
      <c r="B708" s="101"/>
      <c r="C708" s="101"/>
      <c r="D708" s="101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</row>
    <row r="709" ht="12.0" customHeight="1">
      <c r="A709" s="101"/>
      <c r="B709" s="101"/>
      <c r="C709" s="101"/>
      <c r="D709" s="101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</row>
    <row r="710" ht="12.0" customHeight="1">
      <c r="A710" s="101"/>
      <c r="B710" s="101"/>
      <c r="C710" s="101"/>
      <c r="D710" s="101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</row>
    <row r="711" ht="12.0" customHeight="1">
      <c r="A711" s="101"/>
      <c r="B711" s="101"/>
      <c r="C711" s="101"/>
      <c r="D711" s="101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</row>
    <row r="712" ht="12.0" customHeight="1">
      <c r="A712" s="101"/>
      <c r="B712" s="101"/>
      <c r="C712" s="101"/>
      <c r="D712" s="101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</row>
    <row r="713" ht="12.0" customHeight="1">
      <c r="A713" s="101"/>
      <c r="B713" s="101"/>
      <c r="C713" s="101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</row>
    <row r="714" ht="12.0" customHeight="1">
      <c r="A714" s="101"/>
      <c r="B714" s="101"/>
      <c r="C714" s="101"/>
      <c r="D714" s="101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</row>
    <row r="715" ht="12.0" customHeight="1">
      <c r="A715" s="101"/>
      <c r="B715" s="101"/>
      <c r="C715" s="101"/>
      <c r="D715" s="101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</row>
    <row r="716" ht="12.0" customHeight="1">
      <c r="A716" s="101"/>
      <c r="B716" s="101"/>
      <c r="C716" s="101"/>
      <c r="D716" s="101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</row>
    <row r="717" ht="12.0" customHeight="1">
      <c r="A717" s="101"/>
      <c r="B717" s="101"/>
      <c r="C717" s="101"/>
      <c r="D717" s="101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</row>
    <row r="718" ht="12.0" customHeight="1">
      <c r="A718" s="101"/>
      <c r="B718" s="101"/>
      <c r="C718" s="101"/>
      <c r="D718" s="101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</row>
    <row r="719" ht="12.0" customHeight="1">
      <c r="A719" s="101"/>
      <c r="B719" s="101"/>
      <c r="C719" s="101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</row>
    <row r="720" ht="12.0" customHeight="1">
      <c r="A720" s="101"/>
      <c r="B720" s="101"/>
      <c r="C720" s="101"/>
      <c r="D720" s="101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</row>
    <row r="721" ht="12.0" customHeight="1">
      <c r="A721" s="101"/>
      <c r="B721" s="101"/>
      <c r="C721" s="101"/>
      <c r="D721" s="101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</row>
    <row r="722" ht="12.0" customHeight="1">
      <c r="A722" s="101"/>
      <c r="B722" s="101"/>
      <c r="C722" s="101"/>
      <c r="D722" s="101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</row>
    <row r="723" ht="12.0" customHeight="1">
      <c r="A723" s="101"/>
      <c r="B723" s="101"/>
      <c r="C723" s="101"/>
      <c r="D723" s="101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</row>
    <row r="724" ht="12.0" customHeight="1">
      <c r="A724" s="101"/>
      <c r="B724" s="101"/>
      <c r="C724" s="101"/>
      <c r="D724" s="101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</row>
    <row r="725" ht="12.0" customHeight="1">
      <c r="A725" s="101"/>
      <c r="B725" s="101"/>
      <c r="C725" s="101"/>
      <c r="D725" s="101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</row>
    <row r="726" ht="12.0" customHeight="1">
      <c r="A726" s="101"/>
      <c r="B726" s="101"/>
      <c r="C726" s="101"/>
      <c r="D726" s="101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</row>
    <row r="727" ht="12.0" customHeight="1">
      <c r="A727" s="101"/>
      <c r="B727" s="101"/>
      <c r="C727" s="101"/>
      <c r="D727" s="101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</row>
    <row r="728" ht="12.0" customHeight="1">
      <c r="A728" s="101"/>
      <c r="B728" s="101"/>
      <c r="C728" s="101"/>
      <c r="D728" s="101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</row>
    <row r="729" ht="12.0" customHeight="1">
      <c r="A729" s="101"/>
      <c r="B729" s="101"/>
      <c r="C729" s="101"/>
      <c r="D729" s="101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</row>
    <row r="730" ht="12.0" customHeight="1">
      <c r="A730" s="101"/>
      <c r="B730" s="101"/>
      <c r="C730" s="101"/>
      <c r="D730" s="101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</row>
    <row r="731" ht="12.0" customHeight="1">
      <c r="A731" s="101"/>
      <c r="B731" s="101"/>
      <c r="C731" s="101"/>
      <c r="D731" s="101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</row>
    <row r="732" ht="12.0" customHeight="1">
      <c r="A732" s="101"/>
      <c r="B732" s="101"/>
      <c r="C732" s="101"/>
      <c r="D732" s="101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</row>
    <row r="733" ht="12.0" customHeight="1">
      <c r="A733" s="101"/>
      <c r="B733" s="101"/>
      <c r="C733" s="101"/>
      <c r="D733" s="101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</row>
    <row r="734" ht="12.0" customHeight="1">
      <c r="A734" s="101"/>
      <c r="B734" s="101"/>
      <c r="C734" s="101"/>
      <c r="D734" s="101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</row>
    <row r="735" ht="12.0" customHeight="1">
      <c r="A735" s="101"/>
      <c r="B735" s="101"/>
      <c r="C735" s="101"/>
      <c r="D735" s="101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</row>
    <row r="736" ht="12.0" customHeight="1">
      <c r="A736" s="101"/>
      <c r="B736" s="101"/>
      <c r="C736" s="101"/>
      <c r="D736" s="101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</row>
    <row r="737" ht="12.0" customHeight="1">
      <c r="A737" s="101"/>
      <c r="B737" s="101"/>
      <c r="C737" s="101"/>
      <c r="D737" s="101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</row>
    <row r="738" ht="12.0" customHeight="1">
      <c r="A738" s="101"/>
      <c r="B738" s="101"/>
      <c r="C738" s="101"/>
      <c r="D738" s="101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</row>
    <row r="739" ht="12.0" customHeight="1">
      <c r="A739" s="101"/>
      <c r="B739" s="101"/>
      <c r="C739" s="101"/>
      <c r="D739" s="101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</row>
    <row r="740" ht="12.0" customHeight="1">
      <c r="A740" s="101"/>
      <c r="B740" s="101"/>
      <c r="C740" s="101"/>
      <c r="D740" s="101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</row>
    <row r="741" ht="12.0" customHeight="1">
      <c r="A741" s="101"/>
      <c r="B741" s="101"/>
      <c r="C741" s="101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</row>
    <row r="742" ht="12.0" customHeight="1">
      <c r="A742" s="101"/>
      <c r="B742" s="101"/>
      <c r="C742" s="101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</row>
    <row r="743" ht="12.0" customHeight="1">
      <c r="A743" s="101"/>
      <c r="B743" s="101"/>
      <c r="C743" s="101"/>
      <c r="D743" s="101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</row>
    <row r="744" ht="12.0" customHeight="1">
      <c r="A744" s="101"/>
      <c r="B744" s="101"/>
      <c r="C744" s="101"/>
      <c r="D744" s="101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</row>
    <row r="745" ht="12.0" customHeight="1">
      <c r="A745" s="101"/>
      <c r="B745" s="101"/>
      <c r="C745" s="101"/>
      <c r="D745" s="101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</row>
    <row r="746" ht="12.0" customHeight="1">
      <c r="A746" s="101"/>
      <c r="B746" s="101"/>
      <c r="C746" s="101"/>
      <c r="D746" s="101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</row>
    <row r="747" ht="12.0" customHeight="1">
      <c r="A747" s="101"/>
      <c r="B747" s="101"/>
      <c r="C747" s="101"/>
      <c r="D747" s="101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</row>
    <row r="748" ht="12.0" customHeight="1">
      <c r="A748" s="101"/>
      <c r="B748" s="101"/>
      <c r="C748" s="101"/>
      <c r="D748" s="101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</row>
    <row r="749" ht="12.0" customHeight="1">
      <c r="A749" s="101"/>
      <c r="B749" s="101"/>
      <c r="C749" s="101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</row>
    <row r="750" ht="12.0" customHeight="1">
      <c r="A750" s="101"/>
      <c r="B750" s="101"/>
      <c r="C750" s="101"/>
      <c r="D750" s="101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</row>
    <row r="751" ht="12.0" customHeight="1">
      <c r="A751" s="101"/>
      <c r="B751" s="101"/>
      <c r="C751" s="101"/>
      <c r="D751" s="101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</row>
    <row r="752" ht="12.0" customHeight="1">
      <c r="A752" s="101"/>
      <c r="B752" s="101"/>
      <c r="C752" s="101"/>
      <c r="D752" s="101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</row>
    <row r="753" ht="12.0" customHeight="1">
      <c r="A753" s="101"/>
      <c r="B753" s="101"/>
      <c r="C753" s="101"/>
      <c r="D753" s="101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</row>
    <row r="754" ht="12.0" customHeight="1">
      <c r="A754" s="101"/>
      <c r="B754" s="101"/>
      <c r="C754" s="101"/>
      <c r="D754" s="101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</row>
    <row r="755" ht="12.0" customHeight="1">
      <c r="A755" s="101"/>
      <c r="B755" s="101"/>
      <c r="C755" s="101"/>
      <c r="D755" s="101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</row>
    <row r="756" ht="12.0" customHeight="1">
      <c r="A756" s="101"/>
      <c r="B756" s="101"/>
      <c r="C756" s="101"/>
      <c r="D756" s="101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</row>
    <row r="757" ht="12.0" customHeight="1">
      <c r="A757" s="101"/>
      <c r="B757" s="101"/>
      <c r="C757" s="101"/>
      <c r="D757" s="101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</row>
    <row r="758" ht="12.0" customHeight="1">
      <c r="A758" s="101"/>
      <c r="B758" s="101"/>
      <c r="C758" s="101"/>
      <c r="D758" s="101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</row>
    <row r="759" ht="12.0" customHeight="1">
      <c r="A759" s="101"/>
      <c r="B759" s="101"/>
      <c r="C759" s="101"/>
      <c r="D759" s="101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</row>
    <row r="760" ht="12.0" customHeight="1">
      <c r="A760" s="101"/>
      <c r="B760" s="101"/>
      <c r="C760" s="101"/>
      <c r="D760" s="101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</row>
    <row r="761" ht="12.0" customHeight="1">
      <c r="A761" s="101"/>
      <c r="B761" s="101"/>
      <c r="C761" s="101"/>
      <c r="D761" s="101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</row>
    <row r="762" ht="12.0" customHeight="1">
      <c r="A762" s="101"/>
      <c r="B762" s="101"/>
      <c r="C762" s="101"/>
      <c r="D762" s="101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</row>
    <row r="763" ht="12.0" customHeight="1">
      <c r="A763" s="101"/>
      <c r="B763" s="101"/>
      <c r="C763" s="101"/>
      <c r="D763" s="101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</row>
    <row r="764" ht="12.0" customHeight="1">
      <c r="A764" s="101"/>
      <c r="B764" s="101"/>
      <c r="C764" s="101"/>
      <c r="D764" s="101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</row>
    <row r="765" ht="12.0" customHeight="1">
      <c r="A765" s="101"/>
      <c r="B765" s="101"/>
      <c r="C765" s="101"/>
      <c r="D765" s="101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</row>
    <row r="766" ht="12.0" customHeight="1">
      <c r="A766" s="101"/>
      <c r="B766" s="101"/>
      <c r="C766" s="101"/>
      <c r="D766" s="101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</row>
    <row r="767" ht="12.0" customHeight="1">
      <c r="A767" s="101"/>
      <c r="B767" s="101"/>
      <c r="C767" s="101"/>
      <c r="D767" s="101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</row>
    <row r="768" ht="12.0" customHeight="1">
      <c r="A768" s="101"/>
      <c r="B768" s="101"/>
      <c r="C768" s="101"/>
      <c r="D768" s="101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</row>
    <row r="769" ht="12.0" customHeight="1">
      <c r="A769" s="101"/>
      <c r="B769" s="101"/>
      <c r="C769" s="101"/>
      <c r="D769" s="101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</row>
    <row r="770" ht="12.0" customHeight="1">
      <c r="A770" s="101"/>
      <c r="B770" s="101"/>
      <c r="C770" s="101"/>
      <c r="D770" s="101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</row>
    <row r="771" ht="12.0" customHeight="1">
      <c r="A771" s="101"/>
      <c r="B771" s="101"/>
      <c r="C771" s="101"/>
      <c r="D771" s="101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</row>
    <row r="772" ht="12.0" customHeight="1">
      <c r="A772" s="101"/>
      <c r="B772" s="101"/>
      <c r="C772" s="101"/>
      <c r="D772" s="101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</row>
    <row r="773" ht="12.0" customHeight="1">
      <c r="A773" s="101"/>
      <c r="B773" s="101"/>
      <c r="C773" s="101"/>
      <c r="D773" s="101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</row>
    <row r="774" ht="12.0" customHeight="1">
      <c r="A774" s="101"/>
      <c r="B774" s="101"/>
      <c r="C774" s="101"/>
      <c r="D774" s="101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</row>
    <row r="775" ht="12.0" customHeight="1">
      <c r="A775" s="101"/>
      <c r="B775" s="101"/>
      <c r="C775" s="101"/>
      <c r="D775" s="101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</row>
    <row r="776" ht="12.0" customHeight="1">
      <c r="A776" s="101"/>
      <c r="B776" s="101"/>
      <c r="C776" s="101"/>
      <c r="D776" s="101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</row>
    <row r="777" ht="12.0" customHeight="1">
      <c r="A777" s="101"/>
      <c r="B777" s="101"/>
      <c r="C777" s="101"/>
      <c r="D777" s="101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</row>
    <row r="778" ht="12.0" customHeight="1">
      <c r="A778" s="101"/>
      <c r="B778" s="101"/>
      <c r="C778" s="101"/>
      <c r="D778" s="101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</row>
    <row r="779" ht="12.0" customHeight="1">
      <c r="A779" s="101"/>
      <c r="B779" s="101"/>
      <c r="C779" s="101"/>
      <c r="D779" s="101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</row>
    <row r="780" ht="12.0" customHeight="1">
      <c r="A780" s="101"/>
      <c r="B780" s="101"/>
      <c r="C780" s="101"/>
      <c r="D780" s="101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</row>
    <row r="781" ht="12.0" customHeight="1">
      <c r="A781" s="101"/>
      <c r="B781" s="101"/>
      <c r="C781" s="101"/>
      <c r="D781" s="101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</row>
    <row r="782" ht="12.0" customHeight="1">
      <c r="A782" s="101"/>
      <c r="B782" s="101"/>
      <c r="C782" s="101"/>
      <c r="D782" s="101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</row>
    <row r="783" ht="12.0" customHeight="1">
      <c r="A783" s="101"/>
      <c r="B783" s="101"/>
      <c r="C783" s="101"/>
      <c r="D783" s="101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</row>
    <row r="784" ht="12.0" customHeight="1">
      <c r="A784" s="101"/>
      <c r="B784" s="101"/>
      <c r="C784" s="101"/>
      <c r="D784" s="101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</row>
    <row r="785" ht="12.0" customHeight="1">
      <c r="A785" s="101"/>
      <c r="B785" s="101"/>
      <c r="C785" s="101"/>
      <c r="D785" s="101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</row>
    <row r="786" ht="12.0" customHeight="1">
      <c r="A786" s="101"/>
      <c r="B786" s="101"/>
      <c r="C786" s="101"/>
      <c r="D786" s="101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</row>
    <row r="787" ht="12.0" customHeight="1">
      <c r="A787" s="101"/>
      <c r="B787" s="101"/>
      <c r="C787" s="101"/>
      <c r="D787" s="101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</row>
    <row r="788" ht="12.0" customHeight="1">
      <c r="A788" s="101"/>
      <c r="B788" s="101"/>
      <c r="C788" s="101"/>
      <c r="D788" s="101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</row>
    <row r="789" ht="12.0" customHeight="1">
      <c r="A789" s="101"/>
      <c r="B789" s="101"/>
      <c r="C789" s="101"/>
      <c r="D789" s="101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</row>
    <row r="790" ht="12.0" customHeight="1">
      <c r="A790" s="101"/>
      <c r="B790" s="101"/>
      <c r="C790" s="101"/>
      <c r="D790" s="101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</row>
    <row r="791" ht="12.0" customHeight="1">
      <c r="A791" s="101"/>
      <c r="B791" s="101"/>
      <c r="C791" s="101"/>
      <c r="D791" s="101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</row>
    <row r="792" ht="12.0" customHeight="1">
      <c r="A792" s="101"/>
      <c r="B792" s="101"/>
      <c r="C792" s="101"/>
      <c r="D792" s="101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</row>
    <row r="793" ht="12.0" customHeight="1">
      <c r="A793" s="101"/>
      <c r="B793" s="101"/>
      <c r="C793" s="101"/>
      <c r="D793" s="101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</row>
    <row r="794" ht="12.0" customHeight="1">
      <c r="A794" s="101"/>
      <c r="B794" s="101"/>
      <c r="C794" s="101"/>
      <c r="D794" s="101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</row>
    <row r="795" ht="12.0" customHeight="1">
      <c r="A795" s="101"/>
      <c r="B795" s="101"/>
      <c r="C795" s="101"/>
      <c r="D795" s="101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</row>
    <row r="796" ht="12.0" customHeight="1">
      <c r="A796" s="101"/>
      <c r="B796" s="101"/>
      <c r="C796" s="101"/>
      <c r="D796" s="101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</row>
    <row r="797" ht="12.0" customHeight="1">
      <c r="A797" s="101"/>
      <c r="B797" s="101"/>
      <c r="C797" s="101"/>
      <c r="D797" s="101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</row>
    <row r="798" ht="12.0" customHeight="1">
      <c r="A798" s="101"/>
      <c r="B798" s="101"/>
      <c r="C798" s="101"/>
      <c r="D798" s="101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</row>
    <row r="799" ht="12.0" customHeight="1">
      <c r="A799" s="101"/>
      <c r="B799" s="101"/>
      <c r="C799" s="101"/>
      <c r="D799" s="101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</row>
    <row r="800" ht="12.0" customHeight="1">
      <c r="A800" s="101"/>
      <c r="B800" s="101"/>
      <c r="C800" s="101"/>
      <c r="D800" s="101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</row>
    <row r="801" ht="12.0" customHeight="1">
      <c r="A801" s="101"/>
      <c r="B801" s="101"/>
      <c r="C801" s="101"/>
      <c r="D801" s="101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</row>
    <row r="802" ht="12.0" customHeight="1">
      <c r="A802" s="101"/>
      <c r="B802" s="101"/>
      <c r="C802" s="101"/>
      <c r="D802" s="101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</row>
    <row r="803" ht="12.0" customHeight="1">
      <c r="A803" s="101"/>
      <c r="B803" s="101"/>
      <c r="C803" s="101"/>
      <c r="D803" s="101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</row>
    <row r="804" ht="12.0" customHeight="1">
      <c r="A804" s="101"/>
      <c r="B804" s="101"/>
      <c r="C804" s="101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</row>
    <row r="805" ht="12.0" customHeight="1">
      <c r="A805" s="101"/>
      <c r="B805" s="101"/>
      <c r="C805" s="101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</row>
    <row r="806" ht="12.0" customHeight="1">
      <c r="A806" s="101"/>
      <c r="B806" s="101"/>
      <c r="C806" s="101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</row>
    <row r="807" ht="12.0" customHeight="1">
      <c r="A807" s="101"/>
      <c r="B807" s="101"/>
      <c r="C807" s="101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</row>
    <row r="808" ht="12.0" customHeight="1">
      <c r="A808" s="101"/>
      <c r="B808" s="101"/>
      <c r="C808" s="101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</row>
    <row r="809" ht="12.0" customHeight="1">
      <c r="A809" s="101"/>
      <c r="B809" s="101"/>
      <c r="C809" s="101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</row>
    <row r="810" ht="12.0" customHeight="1">
      <c r="A810" s="101"/>
      <c r="B810" s="101"/>
      <c r="C810" s="101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</row>
    <row r="811" ht="12.0" customHeight="1">
      <c r="A811" s="101"/>
      <c r="B811" s="101"/>
      <c r="C811" s="101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</row>
    <row r="812" ht="12.0" customHeight="1">
      <c r="A812" s="101"/>
      <c r="B812" s="101"/>
      <c r="C812" s="101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</row>
    <row r="813" ht="12.0" customHeight="1">
      <c r="A813" s="101"/>
      <c r="B813" s="101"/>
      <c r="C813" s="101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</row>
    <row r="814" ht="12.0" customHeight="1">
      <c r="A814" s="101"/>
      <c r="B814" s="101"/>
      <c r="C814" s="101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</row>
    <row r="815" ht="12.0" customHeight="1">
      <c r="A815" s="101"/>
      <c r="B815" s="101"/>
      <c r="C815" s="101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</row>
    <row r="816" ht="12.0" customHeight="1">
      <c r="A816" s="101"/>
      <c r="B816" s="101"/>
      <c r="C816" s="101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</row>
    <row r="817" ht="12.0" customHeight="1">
      <c r="A817" s="101"/>
      <c r="B817" s="101"/>
      <c r="C817" s="101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</row>
    <row r="818" ht="12.0" customHeight="1">
      <c r="A818" s="101"/>
      <c r="B818" s="101"/>
      <c r="C818" s="101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</row>
    <row r="819" ht="12.0" customHeight="1">
      <c r="A819" s="101"/>
      <c r="B819" s="101"/>
      <c r="C819" s="101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</row>
    <row r="820" ht="12.0" customHeight="1">
      <c r="A820" s="101"/>
      <c r="B820" s="101"/>
      <c r="C820" s="101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</row>
    <row r="821" ht="12.0" customHeight="1">
      <c r="A821" s="101"/>
      <c r="B821" s="101"/>
      <c r="C821" s="101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</row>
    <row r="822" ht="12.0" customHeight="1">
      <c r="A822" s="101"/>
      <c r="B822" s="101"/>
      <c r="C822" s="101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</row>
    <row r="823" ht="12.0" customHeight="1">
      <c r="A823" s="101"/>
      <c r="B823" s="101"/>
      <c r="C823" s="101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</row>
    <row r="824" ht="12.0" customHeight="1">
      <c r="A824" s="101"/>
      <c r="B824" s="101"/>
      <c r="C824" s="101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</row>
    <row r="825" ht="12.0" customHeight="1">
      <c r="A825" s="101"/>
      <c r="B825" s="101"/>
      <c r="C825" s="101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</row>
    <row r="826" ht="12.0" customHeight="1">
      <c r="A826" s="101"/>
      <c r="B826" s="101"/>
      <c r="C826" s="101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</row>
    <row r="827" ht="12.0" customHeight="1">
      <c r="A827" s="101"/>
      <c r="B827" s="101"/>
      <c r="C827" s="101"/>
      <c r="D827" s="101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</row>
    <row r="828" ht="12.0" customHeight="1">
      <c r="A828" s="101"/>
      <c r="B828" s="101"/>
      <c r="C828" s="101"/>
      <c r="D828" s="101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</row>
    <row r="829" ht="12.0" customHeight="1">
      <c r="A829" s="101"/>
      <c r="B829" s="101"/>
      <c r="C829" s="101"/>
      <c r="D829" s="101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</row>
    <row r="830" ht="12.0" customHeight="1">
      <c r="A830" s="101"/>
      <c r="B830" s="101"/>
      <c r="C830" s="101"/>
      <c r="D830" s="101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</row>
    <row r="831" ht="12.0" customHeight="1">
      <c r="A831" s="101"/>
      <c r="B831" s="101"/>
      <c r="C831" s="101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</row>
    <row r="832" ht="12.0" customHeight="1">
      <c r="A832" s="101"/>
      <c r="B832" s="101"/>
      <c r="C832" s="101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</row>
    <row r="833" ht="12.0" customHeight="1">
      <c r="A833" s="101"/>
      <c r="B833" s="101"/>
      <c r="C833" s="101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</row>
    <row r="834" ht="12.0" customHeight="1">
      <c r="A834" s="101"/>
      <c r="B834" s="101"/>
      <c r="C834" s="101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</row>
    <row r="835" ht="12.0" customHeight="1">
      <c r="A835" s="101"/>
      <c r="B835" s="101"/>
      <c r="C835" s="101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</row>
    <row r="836" ht="12.0" customHeight="1">
      <c r="A836" s="101"/>
      <c r="B836" s="101"/>
      <c r="C836" s="101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</row>
    <row r="837" ht="12.0" customHeight="1">
      <c r="A837" s="101"/>
      <c r="B837" s="101"/>
      <c r="C837" s="101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</row>
    <row r="838" ht="12.0" customHeight="1">
      <c r="A838" s="101"/>
      <c r="B838" s="101"/>
      <c r="C838" s="101"/>
      <c r="D838" s="101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</row>
    <row r="839" ht="12.0" customHeight="1">
      <c r="A839" s="101"/>
      <c r="B839" s="101"/>
      <c r="C839" s="101"/>
      <c r="D839" s="101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</row>
    <row r="840" ht="12.0" customHeight="1">
      <c r="A840" s="101"/>
      <c r="B840" s="101"/>
      <c r="C840" s="101"/>
      <c r="D840" s="101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</row>
    <row r="841" ht="12.0" customHeight="1">
      <c r="A841" s="101"/>
      <c r="B841" s="101"/>
      <c r="C841" s="101"/>
      <c r="D841" s="101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</row>
    <row r="842" ht="12.0" customHeight="1">
      <c r="A842" s="101"/>
      <c r="B842" s="101"/>
      <c r="C842" s="101"/>
      <c r="D842" s="101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</row>
    <row r="843" ht="12.0" customHeight="1">
      <c r="A843" s="101"/>
      <c r="B843" s="101"/>
      <c r="C843" s="101"/>
      <c r="D843" s="101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</row>
    <row r="844" ht="12.0" customHeight="1">
      <c r="A844" s="101"/>
      <c r="B844" s="101"/>
      <c r="C844" s="101"/>
      <c r="D844" s="101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</row>
    <row r="845" ht="12.0" customHeight="1">
      <c r="A845" s="101"/>
      <c r="B845" s="101"/>
      <c r="C845" s="101"/>
      <c r="D845" s="101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</row>
    <row r="846" ht="12.0" customHeight="1">
      <c r="A846" s="101"/>
      <c r="B846" s="101"/>
      <c r="C846" s="101"/>
      <c r="D846" s="101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</row>
    <row r="847" ht="12.0" customHeight="1">
      <c r="A847" s="101"/>
      <c r="B847" s="101"/>
      <c r="C847" s="101"/>
      <c r="D847" s="101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</row>
    <row r="848" ht="12.0" customHeight="1">
      <c r="A848" s="101"/>
      <c r="B848" s="101"/>
      <c r="C848" s="101"/>
      <c r="D848" s="101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</row>
    <row r="849" ht="12.0" customHeight="1">
      <c r="A849" s="101"/>
      <c r="B849" s="101"/>
      <c r="C849" s="101"/>
      <c r="D849" s="101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</row>
    <row r="850" ht="12.0" customHeight="1">
      <c r="A850" s="101"/>
      <c r="B850" s="101"/>
      <c r="C850" s="101"/>
      <c r="D850" s="101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</row>
    <row r="851" ht="12.0" customHeight="1">
      <c r="A851" s="101"/>
      <c r="B851" s="101"/>
      <c r="C851" s="101"/>
      <c r="D851" s="101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</row>
    <row r="852" ht="12.0" customHeight="1">
      <c r="A852" s="101"/>
      <c r="B852" s="101"/>
      <c r="C852" s="101"/>
      <c r="D852" s="101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</row>
    <row r="853" ht="12.0" customHeight="1">
      <c r="A853" s="101"/>
      <c r="B853" s="101"/>
      <c r="C853" s="101"/>
      <c r="D853" s="101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</row>
    <row r="854" ht="12.0" customHeight="1">
      <c r="A854" s="101"/>
      <c r="B854" s="101"/>
      <c r="C854" s="101"/>
      <c r="D854" s="101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</row>
    <row r="855" ht="12.0" customHeight="1">
      <c r="A855" s="101"/>
      <c r="B855" s="101"/>
      <c r="C855" s="101"/>
      <c r="D855" s="101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</row>
    <row r="856" ht="12.0" customHeight="1">
      <c r="A856" s="101"/>
      <c r="B856" s="101"/>
      <c r="C856" s="101"/>
      <c r="D856" s="101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</row>
    <row r="857" ht="12.0" customHeight="1">
      <c r="A857" s="101"/>
      <c r="B857" s="101"/>
      <c r="C857" s="101"/>
      <c r="D857" s="101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</row>
    <row r="858" ht="12.0" customHeight="1">
      <c r="A858" s="101"/>
      <c r="B858" s="101"/>
      <c r="C858" s="101"/>
      <c r="D858" s="101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</row>
    <row r="859" ht="12.0" customHeight="1">
      <c r="A859" s="101"/>
      <c r="B859" s="101"/>
      <c r="C859" s="101"/>
      <c r="D859" s="101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</row>
    <row r="860" ht="12.0" customHeight="1">
      <c r="A860" s="101"/>
      <c r="B860" s="101"/>
      <c r="C860" s="101"/>
      <c r="D860" s="101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</row>
    <row r="861" ht="12.0" customHeight="1">
      <c r="A861" s="101"/>
      <c r="B861" s="101"/>
      <c r="C861" s="101"/>
      <c r="D861" s="101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</row>
    <row r="862" ht="12.0" customHeight="1">
      <c r="A862" s="101"/>
      <c r="B862" s="101"/>
      <c r="C862" s="101"/>
      <c r="D862" s="101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</row>
    <row r="863" ht="12.0" customHeight="1">
      <c r="A863" s="101"/>
      <c r="B863" s="101"/>
      <c r="C863" s="101"/>
      <c r="D863" s="101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</row>
    <row r="864" ht="12.0" customHeight="1">
      <c r="A864" s="101"/>
      <c r="B864" s="101"/>
      <c r="C864" s="101"/>
      <c r="D864" s="101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</row>
    <row r="865" ht="12.0" customHeight="1">
      <c r="A865" s="101"/>
      <c r="B865" s="101"/>
      <c r="C865" s="101"/>
      <c r="D865" s="101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</row>
    <row r="866" ht="12.0" customHeight="1">
      <c r="A866" s="101"/>
      <c r="B866" s="101"/>
      <c r="C866" s="101"/>
      <c r="D866" s="101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</row>
    <row r="867" ht="12.0" customHeight="1">
      <c r="A867" s="101"/>
      <c r="B867" s="101"/>
      <c r="C867" s="101"/>
      <c r="D867" s="101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</row>
    <row r="868" ht="12.0" customHeight="1">
      <c r="A868" s="101"/>
      <c r="B868" s="101"/>
      <c r="C868" s="101"/>
      <c r="D868" s="101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</row>
    <row r="869" ht="12.0" customHeight="1">
      <c r="A869" s="101"/>
      <c r="B869" s="101"/>
      <c r="C869" s="101"/>
      <c r="D869" s="101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</row>
    <row r="870" ht="12.0" customHeight="1">
      <c r="A870" s="101"/>
      <c r="B870" s="101"/>
      <c r="C870" s="101"/>
      <c r="D870" s="101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</row>
    <row r="871" ht="12.0" customHeight="1">
      <c r="A871" s="101"/>
      <c r="B871" s="101"/>
      <c r="C871" s="101"/>
      <c r="D871" s="101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</row>
    <row r="872" ht="12.0" customHeight="1">
      <c r="A872" s="101"/>
      <c r="B872" s="101"/>
      <c r="C872" s="101"/>
      <c r="D872" s="101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</row>
    <row r="873" ht="12.0" customHeight="1">
      <c r="A873" s="101"/>
      <c r="B873" s="101"/>
      <c r="C873" s="101"/>
      <c r="D873" s="101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</row>
    <row r="874" ht="12.0" customHeight="1">
      <c r="A874" s="101"/>
      <c r="B874" s="101"/>
      <c r="C874" s="101"/>
      <c r="D874" s="101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</row>
    <row r="875" ht="12.0" customHeight="1">
      <c r="A875" s="101"/>
      <c r="B875" s="101"/>
      <c r="C875" s="101"/>
      <c r="D875" s="101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</row>
    <row r="876" ht="12.0" customHeight="1">
      <c r="A876" s="101"/>
      <c r="B876" s="101"/>
      <c r="C876" s="101"/>
      <c r="D876" s="101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</row>
    <row r="877" ht="12.0" customHeight="1">
      <c r="A877" s="101"/>
      <c r="B877" s="101"/>
      <c r="C877" s="101"/>
      <c r="D877" s="101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</row>
    <row r="878" ht="12.0" customHeight="1">
      <c r="A878" s="101"/>
      <c r="B878" s="101"/>
      <c r="C878" s="101"/>
      <c r="D878" s="101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</row>
    <row r="879" ht="12.0" customHeight="1">
      <c r="A879" s="101"/>
      <c r="B879" s="101"/>
      <c r="C879" s="101"/>
      <c r="D879" s="101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</row>
    <row r="880" ht="12.0" customHeight="1">
      <c r="A880" s="101"/>
      <c r="B880" s="101"/>
      <c r="C880" s="101"/>
      <c r="D880" s="101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</row>
    <row r="881" ht="12.0" customHeight="1">
      <c r="A881" s="101"/>
      <c r="B881" s="101"/>
      <c r="C881" s="101"/>
      <c r="D881" s="101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</row>
    <row r="882" ht="12.0" customHeight="1">
      <c r="A882" s="101"/>
      <c r="B882" s="101"/>
      <c r="C882" s="101"/>
      <c r="D882" s="101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</row>
    <row r="883" ht="12.0" customHeight="1">
      <c r="A883" s="101"/>
      <c r="B883" s="101"/>
      <c r="C883" s="101"/>
      <c r="D883" s="101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</row>
    <row r="884" ht="12.0" customHeight="1">
      <c r="A884" s="101"/>
      <c r="B884" s="101"/>
      <c r="C884" s="101"/>
      <c r="D884" s="101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</row>
    <row r="885" ht="12.0" customHeight="1">
      <c r="A885" s="101"/>
      <c r="B885" s="101"/>
      <c r="C885" s="101"/>
      <c r="D885" s="101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</row>
    <row r="886" ht="12.0" customHeight="1">
      <c r="A886" s="101"/>
      <c r="B886" s="101"/>
      <c r="C886" s="101"/>
      <c r="D886" s="101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</row>
    <row r="887" ht="12.0" customHeight="1">
      <c r="A887" s="101"/>
      <c r="B887" s="101"/>
      <c r="C887" s="101"/>
      <c r="D887" s="101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</row>
    <row r="888" ht="12.0" customHeight="1">
      <c r="A888" s="101"/>
      <c r="B888" s="101"/>
      <c r="C888" s="101"/>
      <c r="D888" s="101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</row>
    <row r="889" ht="12.0" customHeight="1">
      <c r="A889" s="101"/>
      <c r="B889" s="101"/>
      <c r="C889" s="101"/>
      <c r="D889" s="101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</row>
    <row r="890" ht="12.0" customHeight="1">
      <c r="A890" s="101"/>
      <c r="B890" s="101"/>
      <c r="C890" s="101"/>
      <c r="D890" s="101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</row>
    <row r="891" ht="12.0" customHeight="1">
      <c r="A891" s="101"/>
      <c r="B891" s="101"/>
      <c r="C891" s="101"/>
      <c r="D891" s="101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</row>
    <row r="892" ht="12.0" customHeight="1">
      <c r="A892" s="101"/>
      <c r="B892" s="101"/>
      <c r="C892" s="101"/>
      <c r="D892" s="101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</row>
    <row r="893" ht="12.0" customHeight="1">
      <c r="A893" s="101"/>
      <c r="B893" s="101"/>
      <c r="C893" s="101"/>
      <c r="D893" s="101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</row>
    <row r="894" ht="12.0" customHeight="1">
      <c r="A894" s="101"/>
      <c r="B894" s="101"/>
      <c r="C894" s="101"/>
      <c r="D894" s="101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</row>
    <row r="895" ht="12.0" customHeight="1">
      <c r="A895" s="101"/>
      <c r="B895" s="101"/>
      <c r="C895" s="101"/>
      <c r="D895" s="101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</row>
    <row r="896" ht="12.0" customHeight="1">
      <c r="A896" s="101"/>
      <c r="B896" s="101"/>
      <c r="C896" s="101"/>
      <c r="D896" s="101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</row>
    <row r="897" ht="12.0" customHeight="1">
      <c r="A897" s="101"/>
      <c r="B897" s="101"/>
      <c r="C897" s="101"/>
      <c r="D897" s="101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</row>
    <row r="898" ht="12.0" customHeight="1">
      <c r="A898" s="101"/>
      <c r="B898" s="101"/>
      <c r="C898" s="101"/>
      <c r="D898" s="101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</row>
    <row r="899" ht="12.0" customHeight="1">
      <c r="A899" s="101"/>
      <c r="B899" s="101"/>
      <c r="C899" s="101"/>
      <c r="D899" s="101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</row>
    <row r="900" ht="12.0" customHeight="1">
      <c r="A900" s="101"/>
      <c r="B900" s="101"/>
      <c r="C900" s="101"/>
      <c r="D900" s="101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</row>
    <row r="901" ht="12.0" customHeight="1">
      <c r="A901" s="101"/>
      <c r="B901" s="101"/>
      <c r="C901" s="101"/>
      <c r="D901" s="101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</row>
    <row r="902" ht="12.0" customHeight="1">
      <c r="A902" s="101"/>
      <c r="B902" s="101"/>
      <c r="C902" s="101"/>
      <c r="D902" s="101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</row>
    <row r="903" ht="12.0" customHeight="1">
      <c r="A903" s="101"/>
      <c r="B903" s="101"/>
      <c r="C903" s="101"/>
      <c r="D903" s="101"/>
      <c r="E903" s="101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</row>
    <row r="904" ht="12.0" customHeight="1">
      <c r="A904" s="101"/>
      <c r="B904" s="101"/>
      <c r="C904" s="101"/>
      <c r="D904" s="101"/>
      <c r="E904" s="101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</row>
    <row r="905" ht="12.0" customHeight="1">
      <c r="A905" s="101"/>
      <c r="B905" s="101"/>
      <c r="C905" s="101"/>
      <c r="D905" s="101"/>
      <c r="E905" s="101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</row>
    <row r="906" ht="12.0" customHeight="1">
      <c r="A906" s="101"/>
      <c r="B906" s="101"/>
      <c r="C906" s="101"/>
      <c r="D906" s="101"/>
      <c r="E906" s="101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</row>
    <row r="907" ht="12.0" customHeight="1">
      <c r="A907" s="101"/>
      <c r="B907" s="101"/>
      <c r="C907" s="101"/>
      <c r="D907" s="101"/>
      <c r="E907" s="101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</row>
    <row r="908" ht="12.0" customHeight="1">
      <c r="A908" s="101"/>
      <c r="B908" s="101"/>
      <c r="C908" s="101"/>
      <c r="D908" s="101"/>
      <c r="E908" s="101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</row>
    <row r="909" ht="12.0" customHeight="1">
      <c r="A909" s="101"/>
      <c r="B909" s="101"/>
      <c r="C909" s="101"/>
      <c r="D909" s="101"/>
      <c r="E909" s="101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</row>
    <row r="910" ht="12.0" customHeight="1">
      <c r="A910" s="101"/>
      <c r="B910" s="101"/>
      <c r="C910" s="101"/>
      <c r="D910" s="101"/>
      <c r="E910" s="101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</row>
    <row r="911" ht="12.0" customHeight="1">
      <c r="A911" s="101"/>
      <c r="B911" s="101"/>
      <c r="C911" s="101"/>
      <c r="D911" s="101"/>
      <c r="E911" s="101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</row>
    <row r="912" ht="12.0" customHeight="1">
      <c r="A912" s="101"/>
      <c r="B912" s="101"/>
      <c r="C912" s="101"/>
      <c r="D912" s="101"/>
      <c r="E912" s="101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</row>
    <row r="913" ht="12.0" customHeight="1">
      <c r="A913" s="101"/>
      <c r="B913" s="101"/>
      <c r="C913" s="101"/>
      <c r="D913" s="101"/>
      <c r="E913" s="101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</row>
    <row r="914" ht="12.0" customHeight="1">
      <c r="A914" s="101"/>
      <c r="B914" s="101"/>
      <c r="C914" s="101"/>
      <c r="D914" s="101"/>
      <c r="E914" s="101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</row>
    <row r="915" ht="12.0" customHeight="1">
      <c r="A915" s="101"/>
      <c r="B915" s="101"/>
      <c r="C915" s="101"/>
      <c r="D915" s="101"/>
      <c r="E915" s="101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</row>
    <row r="916" ht="12.0" customHeight="1">
      <c r="A916" s="101"/>
      <c r="B916" s="101"/>
      <c r="C916" s="101"/>
      <c r="D916" s="101"/>
      <c r="E916" s="101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</row>
    <row r="917" ht="12.0" customHeight="1">
      <c r="A917" s="101"/>
      <c r="B917" s="101"/>
      <c r="C917" s="101"/>
      <c r="D917" s="101"/>
      <c r="E917" s="101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</row>
    <row r="918" ht="12.0" customHeight="1">
      <c r="A918" s="101"/>
      <c r="B918" s="101"/>
      <c r="C918" s="101"/>
      <c r="D918" s="101"/>
      <c r="E918" s="101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</row>
    <row r="919" ht="12.0" customHeight="1">
      <c r="A919" s="101"/>
      <c r="B919" s="101"/>
      <c r="C919" s="101"/>
      <c r="D919" s="101"/>
      <c r="E919" s="101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</row>
    <row r="920" ht="12.0" customHeight="1">
      <c r="A920" s="101"/>
      <c r="B920" s="101"/>
      <c r="C920" s="101"/>
      <c r="D920" s="101"/>
      <c r="E920" s="101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</row>
    <row r="921" ht="12.0" customHeight="1">
      <c r="A921" s="101"/>
      <c r="B921" s="101"/>
      <c r="C921" s="101"/>
      <c r="D921" s="101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</row>
    <row r="922" ht="12.0" customHeight="1">
      <c r="A922" s="101"/>
      <c r="B922" s="101"/>
      <c r="C922" s="101"/>
      <c r="D922" s="101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</row>
    <row r="923" ht="12.0" customHeight="1">
      <c r="A923" s="101"/>
      <c r="B923" s="101"/>
      <c r="C923" s="101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</row>
    <row r="924" ht="12.0" customHeight="1">
      <c r="A924" s="101"/>
      <c r="B924" s="101"/>
      <c r="C924" s="101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</row>
    <row r="925" ht="12.0" customHeight="1">
      <c r="A925" s="101"/>
      <c r="B925" s="101"/>
      <c r="C925" s="101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</row>
    <row r="926" ht="12.0" customHeight="1">
      <c r="A926" s="101"/>
      <c r="B926" s="101"/>
      <c r="C926" s="101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</row>
    <row r="927" ht="12.0" customHeight="1">
      <c r="A927" s="101"/>
      <c r="B927" s="101"/>
      <c r="C927" s="101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</row>
    <row r="928" ht="12.0" customHeight="1">
      <c r="A928" s="101"/>
      <c r="B928" s="101"/>
      <c r="C928" s="101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</row>
    <row r="929" ht="12.0" customHeight="1">
      <c r="A929" s="101"/>
      <c r="B929" s="101"/>
      <c r="C929" s="101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</row>
    <row r="930" ht="12.0" customHeight="1">
      <c r="A930" s="101"/>
      <c r="B930" s="101"/>
      <c r="C930" s="101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</row>
    <row r="931" ht="12.0" customHeight="1">
      <c r="A931" s="101"/>
      <c r="B931" s="101"/>
      <c r="C931" s="101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</row>
    <row r="932" ht="12.0" customHeight="1">
      <c r="A932" s="101"/>
      <c r="B932" s="101"/>
      <c r="C932" s="101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</row>
    <row r="933" ht="12.0" customHeight="1">
      <c r="A933" s="101"/>
      <c r="B933" s="101"/>
      <c r="C933" s="101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</row>
    <row r="934" ht="12.0" customHeight="1">
      <c r="A934" s="101"/>
      <c r="B934" s="101"/>
      <c r="C934" s="101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</row>
    <row r="935" ht="12.0" customHeight="1">
      <c r="A935" s="101"/>
      <c r="B935" s="101"/>
      <c r="C935" s="101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</row>
    <row r="936" ht="12.0" customHeight="1">
      <c r="A936" s="101"/>
      <c r="B936" s="101"/>
      <c r="C936" s="101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</row>
    <row r="937" ht="12.0" customHeight="1">
      <c r="A937" s="101"/>
      <c r="B937" s="101"/>
      <c r="C937" s="101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</row>
    <row r="938" ht="12.0" customHeight="1">
      <c r="A938" s="101"/>
      <c r="B938" s="101"/>
      <c r="C938" s="101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</row>
    <row r="939" ht="12.0" customHeight="1">
      <c r="A939" s="101"/>
      <c r="B939" s="101"/>
      <c r="C939" s="101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</row>
    <row r="940" ht="12.0" customHeight="1">
      <c r="A940" s="101"/>
      <c r="B940" s="101"/>
      <c r="C940" s="101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</row>
    <row r="941" ht="12.0" customHeight="1">
      <c r="A941" s="101"/>
      <c r="B941" s="101"/>
      <c r="C941" s="101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</row>
    <row r="942" ht="12.0" customHeight="1">
      <c r="A942" s="101"/>
      <c r="B942" s="101"/>
      <c r="C942" s="101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</row>
    <row r="943" ht="12.0" customHeight="1">
      <c r="A943" s="101"/>
      <c r="B943" s="101"/>
      <c r="C943" s="101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</row>
    <row r="944" ht="12.0" customHeight="1">
      <c r="A944" s="101"/>
      <c r="B944" s="101"/>
      <c r="C944" s="101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</row>
    <row r="945" ht="12.0" customHeight="1">
      <c r="A945" s="101"/>
      <c r="B945" s="101"/>
      <c r="C945" s="101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</row>
    <row r="946" ht="12.0" customHeight="1">
      <c r="A946" s="101"/>
      <c r="B946" s="101"/>
      <c r="C946" s="101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</row>
    <row r="947" ht="12.0" customHeight="1">
      <c r="A947" s="101"/>
      <c r="B947" s="101"/>
      <c r="C947" s="101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</row>
    <row r="948" ht="12.0" customHeight="1">
      <c r="A948" s="101"/>
      <c r="B948" s="101"/>
      <c r="C948" s="101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</row>
    <row r="949" ht="12.0" customHeight="1">
      <c r="A949" s="101"/>
      <c r="B949" s="101"/>
      <c r="C949" s="101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</row>
    <row r="950" ht="12.0" customHeight="1">
      <c r="A950" s="101"/>
      <c r="B950" s="101"/>
      <c r="C950" s="101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</row>
    <row r="951" ht="12.0" customHeight="1">
      <c r="A951" s="101"/>
      <c r="B951" s="101"/>
      <c r="C951" s="101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</row>
    <row r="952" ht="12.0" customHeight="1">
      <c r="A952" s="101"/>
      <c r="B952" s="101"/>
      <c r="C952" s="101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</row>
    <row r="953" ht="12.0" customHeight="1">
      <c r="A953" s="101"/>
      <c r="B953" s="101"/>
      <c r="C953" s="101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</row>
    <row r="954" ht="12.0" customHeight="1">
      <c r="A954" s="101"/>
      <c r="B954" s="101"/>
      <c r="C954" s="101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</row>
    <row r="955" ht="12.0" customHeight="1">
      <c r="A955" s="101"/>
      <c r="B955" s="101"/>
      <c r="C955" s="101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</row>
    <row r="956" ht="12.0" customHeight="1">
      <c r="A956" s="101"/>
      <c r="B956" s="101"/>
      <c r="C956" s="101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</row>
    <row r="957" ht="12.0" customHeight="1">
      <c r="A957" s="101"/>
      <c r="B957" s="101"/>
      <c r="C957" s="101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</row>
    <row r="958" ht="12.0" customHeight="1">
      <c r="A958" s="101"/>
      <c r="B958" s="101"/>
      <c r="C958" s="101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</row>
    <row r="959" ht="12.0" customHeight="1">
      <c r="A959" s="101"/>
      <c r="B959" s="101"/>
      <c r="C959" s="101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</row>
    <row r="960" ht="12.0" customHeight="1">
      <c r="A960" s="101"/>
      <c r="B960" s="101"/>
      <c r="C960" s="101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</row>
    <row r="961" ht="12.0" customHeight="1">
      <c r="A961" s="101"/>
      <c r="B961" s="101"/>
      <c r="C961" s="101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</row>
    <row r="962" ht="12.0" customHeight="1">
      <c r="A962" s="101"/>
      <c r="B962" s="101"/>
      <c r="C962" s="101"/>
      <c r="D962" s="101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</row>
    <row r="963" ht="12.0" customHeight="1">
      <c r="A963" s="101"/>
      <c r="B963" s="101"/>
      <c r="C963" s="101"/>
      <c r="D963" s="101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</row>
    <row r="964" ht="12.0" customHeight="1">
      <c r="A964" s="101"/>
      <c r="B964" s="101"/>
      <c r="C964" s="101"/>
      <c r="D964" s="101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</row>
    <row r="965" ht="12.0" customHeight="1">
      <c r="A965" s="101"/>
      <c r="B965" s="101"/>
      <c r="C965" s="101"/>
      <c r="D965" s="101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</row>
    <row r="966" ht="12.0" customHeight="1">
      <c r="A966" s="101"/>
      <c r="B966" s="101"/>
      <c r="C966" s="101"/>
      <c r="D966" s="101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</row>
    <row r="967" ht="12.0" customHeight="1">
      <c r="A967" s="101"/>
      <c r="B967" s="101"/>
      <c r="C967" s="101"/>
      <c r="D967" s="101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</row>
    <row r="968" ht="12.0" customHeight="1">
      <c r="A968" s="101"/>
      <c r="B968" s="101"/>
      <c r="C968" s="101"/>
      <c r="D968" s="101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</row>
    <row r="969" ht="12.0" customHeight="1">
      <c r="A969" s="101"/>
      <c r="B969" s="101"/>
      <c r="C969" s="101"/>
      <c r="D969" s="101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</row>
    <row r="970" ht="12.0" customHeight="1">
      <c r="A970" s="101"/>
      <c r="B970" s="101"/>
      <c r="C970" s="101"/>
      <c r="D970" s="101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</row>
    <row r="971" ht="12.0" customHeight="1">
      <c r="A971" s="101"/>
      <c r="B971" s="101"/>
      <c r="C971" s="101"/>
      <c r="D971" s="101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</row>
    <row r="972" ht="12.0" customHeight="1">
      <c r="A972" s="101"/>
      <c r="B972" s="101"/>
      <c r="C972" s="101"/>
      <c r="D972" s="101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</row>
    <row r="973" ht="12.0" customHeight="1">
      <c r="A973" s="101"/>
      <c r="B973" s="101"/>
      <c r="C973" s="101"/>
      <c r="D973" s="101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</row>
    <row r="974" ht="12.0" customHeight="1">
      <c r="A974" s="101"/>
      <c r="B974" s="101"/>
      <c r="C974" s="101"/>
      <c r="D974" s="101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</row>
    <row r="975" ht="12.0" customHeight="1">
      <c r="A975" s="101"/>
      <c r="B975" s="101"/>
      <c r="C975" s="101"/>
      <c r="D975" s="101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01"/>
    </row>
    <row r="976" ht="12.0" customHeight="1">
      <c r="A976" s="101"/>
      <c r="B976" s="101"/>
      <c r="C976" s="101"/>
      <c r="D976" s="101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01"/>
    </row>
    <row r="977" ht="12.0" customHeight="1">
      <c r="A977" s="101"/>
      <c r="B977" s="101"/>
      <c r="C977" s="101"/>
      <c r="D977" s="101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01"/>
    </row>
    <row r="978" ht="12.0" customHeight="1">
      <c r="A978" s="101"/>
      <c r="B978" s="101"/>
      <c r="C978" s="101"/>
      <c r="D978" s="101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01"/>
    </row>
    <row r="979" ht="12.0" customHeight="1">
      <c r="A979" s="101"/>
      <c r="B979" s="101"/>
      <c r="C979" s="101"/>
      <c r="D979" s="101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01"/>
    </row>
    <row r="980" ht="12.0" customHeight="1">
      <c r="A980" s="101"/>
      <c r="B980" s="101"/>
      <c r="C980" s="101"/>
      <c r="D980" s="101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01"/>
    </row>
    <row r="981" ht="12.0" customHeight="1">
      <c r="A981" s="101"/>
      <c r="B981" s="101"/>
      <c r="C981" s="101"/>
      <c r="D981" s="101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01"/>
    </row>
    <row r="982" ht="12.0" customHeight="1">
      <c r="A982" s="101"/>
      <c r="B982" s="101"/>
      <c r="C982" s="101"/>
      <c r="D982" s="101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  <c r="Z982" s="101"/>
    </row>
    <row r="983" ht="12.0" customHeight="1">
      <c r="A983" s="101"/>
      <c r="B983" s="101"/>
      <c r="C983" s="101"/>
      <c r="D983" s="101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  <c r="Z983" s="101"/>
    </row>
    <row r="984" ht="12.0" customHeight="1">
      <c r="A984" s="101"/>
      <c r="B984" s="101"/>
      <c r="C984" s="101"/>
      <c r="D984" s="101"/>
      <c r="E984" s="101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  <c r="Z984" s="101"/>
    </row>
    <row r="985" ht="12.0" customHeight="1">
      <c r="A985" s="101"/>
      <c r="B985" s="101"/>
      <c r="C985" s="101"/>
      <c r="D985" s="101"/>
      <c r="E985" s="101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  <c r="Z985" s="101"/>
    </row>
    <row r="986" ht="12.0" customHeight="1">
      <c r="A986" s="101"/>
      <c r="B986" s="101"/>
      <c r="C986" s="101"/>
      <c r="D986" s="101"/>
      <c r="E986" s="101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  <c r="Z986" s="101"/>
    </row>
    <row r="987" ht="12.0" customHeight="1">
      <c r="A987" s="101"/>
      <c r="B987" s="101"/>
      <c r="C987" s="101"/>
      <c r="D987" s="101"/>
      <c r="E987" s="101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  <c r="Z987" s="101"/>
    </row>
    <row r="988" ht="12.0" customHeight="1">
      <c r="A988" s="101"/>
      <c r="B988" s="101"/>
      <c r="C988" s="101"/>
      <c r="D988" s="101"/>
      <c r="E988" s="101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  <c r="Z988" s="101"/>
    </row>
    <row r="989" ht="12.0" customHeight="1">
      <c r="A989" s="101"/>
      <c r="B989" s="101"/>
      <c r="C989" s="101"/>
      <c r="D989" s="101"/>
      <c r="E989" s="101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  <c r="Z989" s="101"/>
    </row>
    <row r="990" ht="12.0" customHeight="1">
      <c r="A990" s="101"/>
      <c r="B990" s="101"/>
      <c r="C990" s="101"/>
      <c r="D990" s="101"/>
      <c r="E990" s="101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  <c r="Z990" s="101"/>
    </row>
    <row r="991" ht="12.0" customHeight="1">
      <c r="A991" s="101"/>
      <c r="B991" s="101"/>
      <c r="C991" s="101"/>
      <c r="D991" s="101"/>
      <c r="E991" s="101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  <c r="Z991" s="101"/>
    </row>
    <row r="992" ht="12.0" customHeight="1">
      <c r="A992" s="101"/>
      <c r="B992" s="101"/>
      <c r="C992" s="101"/>
      <c r="D992" s="101"/>
      <c r="E992" s="101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01"/>
      <c r="Z992" s="101"/>
    </row>
    <row r="993" ht="12.0" customHeight="1">
      <c r="A993" s="101"/>
      <c r="B993" s="101"/>
      <c r="C993" s="101"/>
      <c r="D993" s="101"/>
      <c r="E993" s="101"/>
      <c r="F993" s="101"/>
      <c r="G993" s="101"/>
      <c r="H993" s="101"/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  <c r="T993" s="101"/>
      <c r="U993" s="101"/>
      <c r="V993" s="101"/>
      <c r="W993" s="101"/>
      <c r="X993" s="101"/>
      <c r="Y993" s="101"/>
      <c r="Z993" s="101"/>
    </row>
    <row r="994" ht="12.0" customHeight="1">
      <c r="A994" s="101"/>
      <c r="B994" s="101"/>
      <c r="C994" s="101"/>
      <c r="D994" s="101"/>
      <c r="E994" s="101"/>
      <c r="F994" s="101"/>
      <c r="G994" s="101"/>
      <c r="H994" s="101"/>
      <c r="I994" s="101"/>
      <c r="J994" s="101"/>
      <c r="K994" s="101"/>
      <c r="L994" s="101"/>
      <c r="M994" s="101"/>
      <c r="N994" s="101"/>
      <c r="O994" s="101"/>
      <c r="P994" s="101"/>
      <c r="Q994" s="101"/>
      <c r="R994" s="101"/>
      <c r="S994" s="101"/>
      <c r="T994" s="101"/>
      <c r="U994" s="101"/>
      <c r="V994" s="101"/>
      <c r="W994" s="101"/>
      <c r="X994" s="101"/>
      <c r="Y994" s="101"/>
      <c r="Z994" s="101"/>
    </row>
    <row r="995" ht="12.0" customHeight="1">
      <c r="A995" s="101"/>
      <c r="B995" s="101"/>
      <c r="C995" s="101"/>
      <c r="D995" s="101"/>
      <c r="E995" s="101"/>
      <c r="F995" s="101"/>
      <c r="G995" s="101"/>
      <c r="H995" s="101"/>
      <c r="I995" s="101"/>
      <c r="J995" s="101"/>
      <c r="K995" s="101"/>
      <c r="L995" s="101"/>
      <c r="M995" s="101"/>
      <c r="N995" s="101"/>
      <c r="O995" s="101"/>
      <c r="P995" s="101"/>
      <c r="Q995" s="101"/>
      <c r="R995" s="101"/>
      <c r="S995" s="101"/>
      <c r="T995" s="101"/>
      <c r="U995" s="101"/>
      <c r="V995" s="101"/>
      <c r="W995" s="101"/>
      <c r="X995" s="101"/>
      <c r="Y995" s="101"/>
      <c r="Z995" s="101"/>
    </row>
    <row r="996" ht="12.0" customHeight="1">
      <c r="A996" s="101"/>
      <c r="B996" s="101"/>
      <c r="C996" s="101"/>
      <c r="D996" s="101"/>
      <c r="E996" s="101"/>
      <c r="F996" s="101"/>
      <c r="G996" s="101"/>
      <c r="H996" s="101"/>
      <c r="I996" s="101"/>
      <c r="J996" s="101"/>
      <c r="K996" s="101"/>
      <c r="L996" s="101"/>
      <c r="M996" s="101"/>
      <c r="N996" s="101"/>
      <c r="O996" s="101"/>
      <c r="P996" s="101"/>
      <c r="Q996" s="101"/>
      <c r="R996" s="101"/>
      <c r="S996" s="101"/>
      <c r="T996" s="101"/>
      <c r="U996" s="101"/>
      <c r="V996" s="101"/>
      <c r="W996" s="101"/>
      <c r="X996" s="101"/>
      <c r="Y996" s="101"/>
      <c r="Z996" s="101"/>
    </row>
    <row r="997" ht="12.0" customHeight="1">
      <c r="A997" s="101"/>
      <c r="B997" s="101"/>
      <c r="C997" s="101"/>
      <c r="D997" s="101"/>
      <c r="E997" s="101"/>
      <c r="F997" s="101"/>
      <c r="G997" s="101"/>
      <c r="H997" s="101"/>
      <c r="I997" s="101"/>
      <c r="J997" s="101"/>
      <c r="K997" s="101"/>
      <c r="L997" s="101"/>
      <c r="M997" s="101"/>
      <c r="N997" s="101"/>
      <c r="O997" s="101"/>
      <c r="P997" s="101"/>
      <c r="Q997" s="101"/>
      <c r="R997" s="101"/>
      <c r="S997" s="101"/>
      <c r="T997" s="101"/>
      <c r="U997" s="101"/>
      <c r="V997" s="101"/>
      <c r="W997" s="101"/>
      <c r="X997" s="101"/>
      <c r="Y997" s="101"/>
      <c r="Z997" s="101"/>
    </row>
    <row r="998" ht="12.0" customHeight="1">
      <c r="A998" s="101"/>
      <c r="B998" s="101"/>
      <c r="C998" s="101"/>
      <c r="D998" s="101"/>
      <c r="E998" s="101"/>
      <c r="F998" s="101"/>
      <c r="G998" s="101"/>
      <c r="H998" s="101"/>
      <c r="I998" s="101"/>
      <c r="J998" s="101"/>
      <c r="K998" s="101"/>
      <c r="L998" s="101"/>
      <c r="M998" s="101"/>
      <c r="N998" s="101"/>
      <c r="O998" s="101"/>
      <c r="P998" s="101"/>
      <c r="Q998" s="101"/>
      <c r="R998" s="101"/>
      <c r="S998" s="101"/>
      <c r="T998" s="101"/>
      <c r="U998" s="101"/>
      <c r="V998" s="101"/>
      <c r="W998" s="101"/>
      <c r="X998" s="101"/>
      <c r="Y998" s="101"/>
      <c r="Z998" s="101"/>
    </row>
    <row r="999" ht="12.0" customHeight="1">
      <c r="A999" s="101"/>
      <c r="B999" s="101"/>
      <c r="C999" s="101"/>
      <c r="D999" s="101"/>
      <c r="E999" s="101"/>
      <c r="F999" s="101"/>
      <c r="G999" s="101"/>
      <c r="H999" s="101"/>
      <c r="I999" s="101"/>
      <c r="J999" s="101"/>
      <c r="K999" s="101"/>
      <c r="L999" s="101"/>
      <c r="M999" s="101"/>
      <c r="N999" s="101"/>
      <c r="O999" s="101"/>
      <c r="P999" s="101"/>
      <c r="Q999" s="101"/>
      <c r="R999" s="101"/>
      <c r="S999" s="101"/>
      <c r="T999" s="101"/>
      <c r="U999" s="101"/>
      <c r="V999" s="101"/>
      <c r="W999" s="101"/>
      <c r="X999" s="101"/>
      <c r="Y999" s="101"/>
      <c r="Z999" s="101"/>
    </row>
    <row r="1000" ht="12.0" customHeight="1">
      <c r="A1000" s="101"/>
      <c r="B1000" s="101"/>
      <c r="C1000" s="101"/>
      <c r="D1000" s="101"/>
      <c r="E1000" s="101"/>
      <c r="F1000" s="101"/>
      <c r="G1000" s="101"/>
      <c r="H1000" s="101"/>
      <c r="I1000" s="101"/>
      <c r="J1000" s="101"/>
      <c r="K1000" s="101"/>
      <c r="L1000" s="101"/>
      <c r="M1000" s="101"/>
      <c r="N1000" s="101"/>
      <c r="O1000" s="101"/>
      <c r="P1000" s="101"/>
      <c r="Q1000" s="101"/>
      <c r="R1000" s="101"/>
      <c r="S1000" s="101"/>
      <c r="T1000" s="101"/>
      <c r="U1000" s="101"/>
      <c r="V1000" s="101"/>
      <c r="W1000" s="101"/>
      <c r="X1000" s="101"/>
      <c r="Y1000" s="101"/>
      <c r="Z1000" s="101"/>
    </row>
  </sheetData>
  <autoFilter ref="$A$3:$I$81">
    <filterColumn colId="2">
      <filters>
        <filter val="관악 4동[신양학술정보관2]"/>
      </filters>
    </filterColumn>
  </autoFilter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2024-09-10T07:48:35Z</dcterms:created>
  <dc:creator>재원 한</dc:creator>
</cp:coreProperties>
</file>
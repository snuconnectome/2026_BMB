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ewon/Desktop/뇌마음행동_TA자료/"/>
    </mc:Choice>
  </mc:AlternateContent>
  <xr:revisionPtr revIDLastSave="0" documentId="8_{01432BD1-D960-614C-B2D4-525B859C5010}" xr6:coauthVersionLast="47" xr6:coauthVersionMax="47" xr10:uidLastSave="{00000000-0000-0000-0000-000000000000}"/>
  <bookViews>
    <workbookView xWindow="0" yWindow="500" windowWidth="28800" windowHeight="11740" xr2:uid="{1ABE2A5B-B8B8-49B1-9180-758560DFC3D7}"/>
  </bookViews>
  <sheets>
    <sheet name="관악(1)" sheetId="2" r:id="rId1"/>
    <sheet name="관악(5)" sheetId="6" state="hidden" r:id="rId2"/>
    <sheet name="관악(6)" sheetId="7" state="hidden" r:id="rId3"/>
    <sheet name="관악(7)" sheetId="8" state="hidden" r:id="rId4"/>
    <sheet name="관악(2)" sheetId="3" state="hidden" r:id="rId5"/>
    <sheet name="관악(3)" sheetId="4" state="hidden" r:id="rId6"/>
    <sheet name="관악(4)" sheetId="5" state="hidden" r:id="rId7"/>
    <sheet name="의대점(2)" sheetId="9" state="hidden" r:id="rId8"/>
    <sheet name="의대점(1)" sheetId="1" state="hidden" r:id="rId9"/>
  </sheets>
  <definedNames>
    <definedName name="_xlnm.Print_Area" localSheetId="0">'관악(1)'!$A$1:$G$34</definedName>
    <definedName name="_xlnm.Print_Area" localSheetId="4">'관악(2)'!$A$1:$G$34</definedName>
    <definedName name="_xlnm.Print_Area" localSheetId="5">'관악(3)'!$A$1:$G$34</definedName>
    <definedName name="_xlnm.Print_Area" localSheetId="6">'관악(4)'!$A$1:$G$34</definedName>
    <definedName name="_xlnm.Print_Area" localSheetId="1">'관악(5)'!$A$1:$G$34</definedName>
    <definedName name="_xlnm.Print_Area" localSheetId="2">'관악(6)'!$A$1:$G$34</definedName>
    <definedName name="_xlnm.Print_Area" localSheetId="3">'관악(7)'!$A$1:$G$34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3" i="3" l="1"/>
  <c r="F23" i="4" l="1"/>
  <c r="F13" i="4"/>
  <c r="F15" i="1" l="1"/>
  <c r="F14" i="1"/>
  <c r="F13" i="1"/>
  <c r="F13" i="9" l="1"/>
  <c r="F34" i="9" s="1"/>
  <c r="B8" i="9" s="1"/>
  <c r="A9" i="9" s="1"/>
  <c r="F13" i="8" l="1"/>
  <c r="F34" i="8" s="1"/>
  <c r="B8" i="8" s="1"/>
  <c r="A9" i="8" s="1"/>
  <c r="F15" i="7"/>
  <c r="F14" i="7"/>
  <c r="F13" i="7"/>
  <c r="F34" i="7"/>
  <c r="B8" i="7" s="1"/>
  <c r="A9" i="7" s="1"/>
  <c r="F13" i="6"/>
  <c r="F34" i="6"/>
  <c r="B8" i="6" s="1"/>
  <c r="A9" i="6" s="1"/>
  <c r="F18" i="5"/>
  <c r="F17" i="5"/>
  <c r="F16" i="5"/>
  <c r="F15" i="5"/>
  <c r="F14" i="5"/>
  <c r="F13" i="5"/>
  <c r="F34" i="4"/>
  <c r="B8" i="4" s="1"/>
  <c r="A9" i="4" s="1"/>
  <c r="F34" i="5" l="1"/>
  <c r="B8" i="5" s="1"/>
  <c r="A9" i="5" s="1"/>
  <c r="F34" i="3" l="1"/>
  <c r="B8" i="3" s="1"/>
  <c r="A9" i="3" s="1"/>
  <c r="F34" i="2"/>
  <c r="B8" i="2" s="1"/>
  <c r="A9" i="2" s="1"/>
  <c r="F34" i="1" l="1"/>
  <c r="B8" i="1" s="1"/>
  <c r="A9" i="1" s="1"/>
</calcChain>
</file>

<file path=xl/sharedStrings.xml><?xml version="1.0" encoding="utf-8"?>
<sst xmlns="http://schemas.openxmlformats.org/spreadsheetml/2006/main" count="262" uniqueCount="63">
  <si>
    <t>부가세포함</t>
    <phoneticPr fontId="4" type="noConversion"/>
  </si>
  <si>
    <t>\</t>
    <phoneticPr fontId="4" type="noConversion"/>
  </si>
  <si>
    <t>합     계</t>
    <phoneticPr fontId="4" type="noConversion"/>
  </si>
  <si>
    <t>비고</t>
    <phoneticPr fontId="4" type="noConversion"/>
  </si>
  <si>
    <t>금액</t>
    <phoneticPr fontId="4" type="noConversion"/>
  </si>
  <si>
    <t>단  가</t>
    <phoneticPr fontId="4" type="noConversion"/>
  </si>
  <si>
    <t xml:space="preserve">수  량 </t>
    <phoneticPr fontId="4" type="noConversion"/>
  </si>
  <si>
    <t>단 위</t>
    <phoneticPr fontId="4" type="noConversion"/>
  </si>
  <si>
    <t>규  격</t>
    <phoneticPr fontId="4" type="noConversion"/>
  </si>
  <si>
    <t>품   명</t>
    <phoneticPr fontId="4" type="noConversion"/>
  </si>
  <si>
    <t>전화번호</t>
    <phoneticPr fontId="4" type="noConversion"/>
  </si>
  <si>
    <r>
      <t xml:space="preserve">     아래와 같이 </t>
    </r>
    <r>
      <rPr>
        <b/>
        <sz val="12"/>
        <rFont val="굴림"/>
        <family val="3"/>
        <charset val="129"/>
      </rPr>
      <t>확인</t>
    </r>
    <r>
      <rPr>
        <sz val="12"/>
        <rFont val="굴림"/>
        <family val="3"/>
        <charset val="129"/>
      </rPr>
      <t>합니다.</t>
    </r>
    <phoneticPr fontId="4" type="noConversion"/>
  </si>
  <si>
    <t>도소매외</t>
    <phoneticPr fontId="4" type="noConversion"/>
  </si>
  <si>
    <t>업      태</t>
    <phoneticPr fontId="4" type="noConversion"/>
  </si>
  <si>
    <t>관악구 신림동 산 56-1</t>
    <phoneticPr fontId="4" type="noConversion"/>
  </si>
  <si>
    <t xml:space="preserve"> 주      소</t>
    <phoneticPr fontId="4" type="noConversion"/>
  </si>
  <si>
    <t xml:space="preserve">   합 계 금 액  : \</t>
    <phoneticPr fontId="4" type="noConversion"/>
  </si>
  <si>
    <t xml:space="preserve">서울대학교생활협동조합 </t>
    <phoneticPr fontId="4" type="noConversion"/>
  </si>
  <si>
    <t>상      호</t>
    <phoneticPr fontId="4" type="noConversion"/>
  </si>
  <si>
    <t>귀하</t>
    <phoneticPr fontId="4" type="noConversion"/>
  </si>
  <si>
    <t>119 - 82 - 02666</t>
    <phoneticPr fontId="4" type="noConversion"/>
  </si>
  <si>
    <t>등록번호</t>
    <phoneticPr fontId="4" type="noConversion"/>
  </si>
  <si>
    <t>공         급          자</t>
    <phoneticPr fontId="4" type="noConversion"/>
  </si>
  <si>
    <t>거  래  명  세  서</t>
    <phoneticPr fontId="4" type="noConversion"/>
  </si>
  <si>
    <t>101 - 82 - 11091</t>
    <phoneticPr fontId="4" type="noConversion"/>
  </si>
  <si>
    <t>종로구 연건동28</t>
    <phoneticPr fontId="4" type="noConversion"/>
  </si>
  <si>
    <t>02-740-8196</t>
    <phoneticPr fontId="4" type="noConversion"/>
  </si>
  <si>
    <t>880 - 2580</t>
    <phoneticPr fontId="4" type="noConversion"/>
  </si>
  <si>
    <t>서울대학교 시흥교육협력센터</t>
    <phoneticPr fontId="2" type="noConversion"/>
  </si>
  <si>
    <t>USB메모리_16GB</t>
    <phoneticPr fontId="4" type="noConversion"/>
  </si>
  <si>
    <t xml:space="preserve">2023년   11월   29일  </t>
    <phoneticPr fontId="4" type="noConversion"/>
  </si>
  <si>
    <t xml:space="preserve">2023년   11월   30일  </t>
    <phoneticPr fontId="4" type="noConversion"/>
  </si>
  <si>
    <t>방명록(대)</t>
    <phoneticPr fontId="4" type="noConversion"/>
  </si>
  <si>
    <t>USB메모리_64GB</t>
    <phoneticPr fontId="4" type="noConversion"/>
  </si>
  <si>
    <t>USB메모리_32GB</t>
    <phoneticPr fontId="4" type="noConversion"/>
  </si>
  <si>
    <t xml:space="preserve">2023년   11월   24일  </t>
    <phoneticPr fontId="4" type="noConversion"/>
  </si>
  <si>
    <t>3색볼펜</t>
    <phoneticPr fontId="4" type="noConversion"/>
  </si>
  <si>
    <t xml:space="preserve">2023년   12월   8일  </t>
    <phoneticPr fontId="4" type="noConversion"/>
  </si>
  <si>
    <t>샤쿠키</t>
    <phoneticPr fontId="4" type="noConversion"/>
  </si>
  <si>
    <t>환경대학원</t>
    <phoneticPr fontId="4" type="noConversion"/>
  </si>
  <si>
    <t xml:space="preserve">2023년   12월   1일  </t>
    <phoneticPr fontId="4" type="noConversion"/>
  </si>
  <si>
    <t xml:space="preserve">뇌인지과학과 </t>
    <phoneticPr fontId="2" type="noConversion"/>
  </si>
  <si>
    <t>학용품세트(A_1)</t>
    <phoneticPr fontId="4" type="noConversion"/>
  </si>
  <si>
    <t>노트세트_초등용</t>
    <phoneticPr fontId="2" type="noConversion"/>
  </si>
  <si>
    <t>정문야경홀더</t>
    <phoneticPr fontId="2" type="noConversion"/>
  </si>
  <si>
    <t>지우개</t>
    <phoneticPr fontId="2" type="noConversion"/>
  </si>
  <si>
    <t>홀더_디자인</t>
    <phoneticPr fontId="2" type="noConversion"/>
  </si>
  <si>
    <t>노트세트_디자인</t>
    <phoneticPr fontId="2" type="noConversion"/>
  </si>
  <si>
    <t xml:space="preserve">2023년   12월   14일  </t>
    <phoneticPr fontId="4" type="noConversion"/>
  </si>
  <si>
    <t>서울대학교병원</t>
    <phoneticPr fontId="4" type="noConversion"/>
  </si>
  <si>
    <t>복사용지(더블)</t>
    <phoneticPr fontId="4" type="noConversion"/>
  </si>
  <si>
    <t>제트스트림펜</t>
    <phoneticPr fontId="2" type="noConversion"/>
  </si>
  <si>
    <t>칼라홀더</t>
    <phoneticPr fontId="2" type="noConversion"/>
  </si>
  <si>
    <t xml:space="preserve">서울대학교 농업생명과학연구원 </t>
    <phoneticPr fontId="2" type="noConversion"/>
  </si>
  <si>
    <t>해피머니상품권</t>
    <phoneticPr fontId="2" type="noConversion"/>
  </si>
  <si>
    <t xml:space="preserve">2023년   12월    22일 </t>
    <phoneticPr fontId="4" type="noConversion"/>
  </si>
  <si>
    <t xml:space="preserve">2024년   1월    4일 </t>
    <phoneticPr fontId="4" type="noConversion"/>
  </si>
  <si>
    <t>스퀘어명찰</t>
    <phoneticPr fontId="2" type="noConversion"/>
  </si>
  <si>
    <t>서울대학교 산학협력단</t>
    <phoneticPr fontId="2" type="noConversion"/>
  </si>
  <si>
    <t>ea</t>
  </si>
  <si>
    <t xml:space="preserve">2024년   3월   5일 </t>
    <phoneticPr fontId="4" type="noConversion"/>
  </si>
  <si>
    <t>서울대학교 심리학과</t>
    <phoneticPr fontId="2" type="noConversion"/>
  </si>
  <si>
    <t>HDMI케이블(2M/NX671)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</si>
</sst>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₩&quot;* #,##0_-;\-&quot;₩&quot;* #,##0_-;_-&quot;₩&quot;* &quot;-&quot;_-;_-@_-"/>
    <numFmt numFmtId="165" formatCode="_-* #,##0_-;\-* #,##0_-;_-* &quot;-&quot;_-;_-@_-"/>
    <numFmt numFmtId="166" formatCode="[DBNum4]&quot;일&quot;&quot;금&quot;\ General&quot;원정&quot;"/>
  </numFmts>
  <fonts count="1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b/>
      <sz val="10"/>
      <name val="굴림체"/>
      <family val="3"/>
      <charset val="129"/>
    </font>
    <font>
      <sz val="8"/>
      <name val="돋움"/>
      <family val="3"/>
      <charset val="129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2"/>
      <name val="굴림"/>
      <family val="3"/>
      <charset val="129"/>
    </font>
    <font>
      <b/>
      <u/>
      <sz val="12"/>
      <name val="굴림"/>
      <family val="3"/>
      <charset val="129"/>
    </font>
    <font>
      <sz val="11"/>
      <name val="굴림"/>
      <family val="3"/>
      <charset val="129"/>
    </font>
    <font>
      <sz val="12"/>
      <name val="굴림체"/>
      <family val="3"/>
      <charset val="129"/>
    </font>
    <font>
      <b/>
      <sz val="22"/>
      <name val="궁서체"/>
      <family val="1"/>
      <charset val="129"/>
    </font>
    <font>
      <b/>
      <u/>
      <sz val="22"/>
      <name val="궁서체"/>
      <family val="1"/>
      <charset val="129"/>
    </font>
    <font>
      <b/>
      <sz val="11"/>
      <name val="굴림"/>
      <family val="3"/>
      <charset val="129"/>
    </font>
    <font>
      <b/>
      <sz val="9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/>
    <xf numFmtId="165" fontId="0" fillId="0" borderId="0" xfId="0" applyNumberFormat="1" applyAlignment="1"/>
    <xf numFmtId="0" fontId="3" fillId="0" borderId="1" xfId="0" applyFont="1" applyBorder="1" applyAlignment="1">
      <alignment horizontal="center" vertical="center"/>
    </xf>
    <xf numFmtId="165" fontId="5" fillId="0" borderId="2" xfId="2" applyNumberFormat="1" applyFont="1" applyBorder="1" applyAlignment="1">
      <alignment horizontal="left" vertical="center"/>
    </xf>
    <xf numFmtId="165" fontId="5" fillId="0" borderId="2" xfId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165" fontId="7" fillId="0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5" fontId="7" fillId="0" borderId="2" xfId="1" applyFont="1" applyBorder="1" applyAlignment="1">
      <alignment horizontal="center" vertical="center"/>
    </xf>
    <xf numFmtId="165" fontId="7" fillId="0" borderId="4" xfId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5" fontId="7" fillId="0" borderId="4" xfId="1" applyFont="1" applyFill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65" fontId="7" fillId="0" borderId="5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5" fontId="7" fillId="0" borderId="5" xfId="0" applyNumberFormat="1" applyFont="1" applyBorder="1">
      <alignment vertical="center"/>
    </xf>
    <xf numFmtId="0" fontId="9" fillId="0" borderId="7" xfId="0" applyFont="1" applyBorder="1" applyAlignment="1">
      <alignment horizontal="center" vertical="center"/>
    </xf>
    <xf numFmtId="165" fontId="9" fillId="0" borderId="7" xfId="1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4" xfId="0" applyNumberFormat="1" applyFont="1" applyBorder="1">
      <alignment vertical="center"/>
    </xf>
    <xf numFmtId="0" fontId="9" fillId="0" borderId="0" xfId="0" applyFont="1" applyAlignment="1">
      <alignment horizontal="left" vertical="center"/>
    </xf>
    <xf numFmtId="165" fontId="9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2" fillId="0" borderId="0" xfId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quotePrefix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5" fontId="15" fillId="0" borderId="2" xfId="1" applyFont="1" applyBorder="1" applyAlignment="1">
      <alignment horizontal="right" vertical="center"/>
    </xf>
    <xf numFmtId="165" fontId="15" fillId="0" borderId="2" xfId="2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165" fontId="0" fillId="0" borderId="0" xfId="1" applyFont="1">
      <alignment vertical="center"/>
    </xf>
    <xf numFmtId="165" fontId="7" fillId="0" borderId="5" xfId="1" applyFont="1" applyBorder="1" applyAlignment="1">
      <alignment vertical="center"/>
    </xf>
    <xf numFmtId="165" fontId="7" fillId="0" borderId="2" xfId="1" applyFont="1" applyBorder="1" applyAlignment="1">
      <alignment vertical="center"/>
    </xf>
    <xf numFmtId="165" fontId="7" fillId="0" borderId="4" xfId="1" applyFont="1" applyBorder="1" applyAlignment="1">
      <alignment vertical="center"/>
    </xf>
    <xf numFmtId="0" fontId="7" fillId="0" borderId="4" xfId="0" applyFont="1" applyBorder="1">
      <alignment vertical="center"/>
    </xf>
    <xf numFmtId="165" fontId="7" fillId="0" borderId="4" xfId="1" applyFont="1" applyFill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165" fontId="8" fillId="0" borderId="4" xfId="1" applyFont="1" applyBorder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 shrinkToFit="1"/>
    </xf>
    <xf numFmtId="0" fontId="9" fillId="0" borderId="0" xfId="0" applyFont="1" applyAlignment="1">
      <alignment horizontal="center" vertical="center" wrapText="1"/>
    </xf>
    <xf numFmtId="38" fontId="5" fillId="0" borderId="0" xfId="0" applyNumberFormat="1" applyFont="1" applyAlignment="1">
      <alignment horizontal="left" vertical="center"/>
    </xf>
    <xf numFmtId="166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253020</xdr:colOff>
      <xdr:row>5</xdr:row>
      <xdr:rowOff>187122</xdr:rowOff>
    </xdr:from>
    <xdr:to>
      <xdr:col>6</xdr:col>
      <xdr:colOff>751030</xdr:colOff>
      <xdr:row>7</xdr:row>
      <xdr:rowOff>81081</xdr:rowOff>
    </xdr:to>
    <xdr:pic>
      <xdr:nvPicPr>
        <xdr:cNvPr id="2" name="Picture 423">
          <a:extLst>
            <a:ext uri="{FF2B5EF4-FFF2-40B4-BE49-F238E27FC236}">
              <a16:creationId xmlns:a16="http://schemas.microsoft.com/office/drawing/2014/main" id="{62154DCA-45FE-4AA9-8F21-810191609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8000" contrast="36000"/>
        </a:blip>
        <a:srcRect/>
        <a:stretch>
          <a:fillRect/>
        </a:stretch>
      </xdr:blipFill>
      <xdr:spPr bwMode="auto">
        <a:xfrm rot="1033517">
          <a:off x="5987070" y="1596822"/>
          <a:ext cx="498010" cy="465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253020</xdr:colOff>
      <xdr:row>5</xdr:row>
      <xdr:rowOff>187122</xdr:rowOff>
    </xdr:from>
    <xdr:to>
      <xdr:col>6</xdr:col>
      <xdr:colOff>751030</xdr:colOff>
      <xdr:row>7</xdr:row>
      <xdr:rowOff>81081</xdr:rowOff>
    </xdr:to>
    <xdr:pic>
      <xdr:nvPicPr>
        <xdr:cNvPr id="2" name="Picture 423">
          <a:extLst>
            <a:ext uri="{FF2B5EF4-FFF2-40B4-BE49-F238E27FC236}">
              <a16:creationId xmlns:a16="http://schemas.microsoft.com/office/drawing/2014/main" id="{22D63923-C954-4E1C-98EB-F9CD681B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8000" contrast="36000"/>
        </a:blip>
        <a:srcRect/>
        <a:stretch>
          <a:fillRect/>
        </a:stretch>
      </xdr:blipFill>
      <xdr:spPr bwMode="auto">
        <a:xfrm rot="1033517">
          <a:off x="6082320" y="1596822"/>
          <a:ext cx="498010" cy="465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253020</xdr:colOff>
      <xdr:row>5</xdr:row>
      <xdr:rowOff>187122</xdr:rowOff>
    </xdr:from>
    <xdr:to>
      <xdr:col>6</xdr:col>
      <xdr:colOff>751030</xdr:colOff>
      <xdr:row>7</xdr:row>
      <xdr:rowOff>81081</xdr:rowOff>
    </xdr:to>
    <xdr:pic>
      <xdr:nvPicPr>
        <xdr:cNvPr id="2" name="Picture 423">
          <a:extLst>
            <a:ext uri="{FF2B5EF4-FFF2-40B4-BE49-F238E27FC236}">
              <a16:creationId xmlns:a16="http://schemas.microsoft.com/office/drawing/2014/main" id="{49E0BB52-30E1-4C44-993A-37B6DEC78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8000" contrast="36000"/>
        </a:blip>
        <a:srcRect/>
        <a:stretch>
          <a:fillRect/>
        </a:stretch>
      </xdr:blipFill>
      <xdr:spPr bwMode="auto">
        <a:xfrm rot="1033517">
          <a:off x="6082320" y="1596822"/>
          <a:ext cx="498010" cy="465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253020</xdr:colOff>
      <xdr:row>5</xdr:row>
      <xdr:rowOff>187122</xdr:rowOff>
    </xdr:from>
    <xdr:to>
      <xdr:col>6</xdr:col>
      <xdr:colOff>751030</xdr:colOff>
      <xdr:row>7</xdr:row>
      <xdr:rowOff>81081</xdr:rowOff>
    </xdr:to>
    <xdr:pic>
      <xdr:nvPicPr>
        <xdr:cNvPr id="2" name="Picture 423">
          <a:extLst>
            <a:ext uri="{FF2B5EF4-FFF2-40B4-BE49-F238E27FC236}">
              <a16:creationId xmlns:a16="http://schemas.microsoft.com/office/drawing/2014/main" id="{ECC25EAF-DC76-4D20-8BFA-09586053C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8000" contrast="36000"/>
        </a:blip>
        <a:srcRect/>
        <a:stretch>
          <a:fillRect/>
        </a:stretch>
      </xdr:blipFill>
      <xdr:spPr bwMode="auto">
        <a:xfrm rot="1033517">
          <a:off x="6082320" y="1596822"/>
          <a:ext cx="498010" cy="465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253020</xdr:colOff>
      <xdr:row>5</xdr:row>
      <xdr:rowOff>187122</xdr:rowOff>
    </xdr:from>
    <xdr:to>
      <xdr:col>6</xdr:col>
      <xdr:colOff>751030</xdr:colOff>
      <xdr:row>7</xdr:row>
      <xdr:rowOff>81081</xdr:rowOff>
    </xdr:to>
    <xdr:pic>
      <xdr:nvPicPr>
        <xdr:cNvPr id="2" name="Picture 423">
          <a:extLst>
            <a:ext uri="{FF2B5EF4-FFF2-40B4-BE49-F238E27FC236}">
              <a16:creationId xmlns:a16="http://schemas.microsoft.com/office/drawing/2014/main" id="{4981A745-507E-485B-B90C-59C37772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8000" contrast="36000"/>
        </a:blip>
        <a:srcRect/>
        <a:stretch>
          <a:fillRect/>
        </a:stretch>
      </xdr:blipFill>
      <xdr:spPr bwMode="auto">
        <a:xfrm rot="1033517">
          <a:off x="5987070" y="1596822"/>
          <a:ext cx="498010" cy="465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253020</xdr:colOff>
      <xdr:row>5</xdr:row>
      <xdr:rowOff>187122</xdr:rowOff>
    </xdr:from>
    <xdr:to>
      <xdr:col>6</xdr:col>
      <xdr:colOff>751030</xdr:colOff>
      <xdr:row>7</xdr:row>
      <xdr:rowOff>81081</xdr:rowOff>
    </xdr:to>
    <xdr:pic>
      <xdr:nvPicPr>
        <xdr:cNvPr id="2" name="Picture 423">
          <a:extLst>
            <a:ext uri="{FF2B5EF4-FFF2-40B4-BE49-F238E27FC236}">
              <a16:creationId xmlns:a16="http://schemas.microsoft.com/office/drawing/2014/main" id="{EDC24B29-06B2-4AD4-B66D-981DE8157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8000" contrast="36000"/>
        </a:blip>
        <a:srcRect/>
        <a:stretch>
          <a:fillRect/>
        </a:stretch>
      </xdr:blipFill>
      <xdr:spPr bwMode="auto">
        <a:xfrm rot="1033517">
          <a:off x="6082320" y="1596822"/>
          <a:ext cx="498010" cy="465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253020</xdr:colOff>
      <xdr:row>5</xdr:row>
      <xdr:rowOff>187122</xdr:rowOff>
    </xdr:from>
    <xdr:to>
      <xdr:col>6</xdr:col>
      <xdr:colOff>751030</xdr:colOff>
      <xdr:row>7</xdr:row>
      <xdr:rowOff>81081</xdr:rowOff>
    </xdr:to>
    <xdr:pic>
      <xdr:nvPicPr>
        <xdr:cNvPr id="2" name="Picture 423">
          <a:extLst>
            <a:ext uri="{FF2B5EF4-FFF2-40B4-BE49-F238E27FC236}">
              <a16:creationId xmlns:a16="http://schemas.microsoft.com/office/drawing/2014/main" id="{72E55970-C9C5-4A86-AD80-617399429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8000" contrast="36000"/>
        </a:blip>
        <a:srcRect/>
        <a:stretch>
          <a:fillRect/>
        </a:stretch>
      </xdr:blipFill>
      <xdr:spPr bwMode="auto">
        <a:xfrm rot="1033517">
          <a:off x="6082320" y="1596822"/>
          <a:ext cx="498010" cy="465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253020</xdr:colOff>
      <xdr:row>5</xdr:row>
      <xdr:rowOff>187122</xdr:rowOff>
    </xdr:from>
    <xdr:to>
      <xdr:col>6</xdr:col>
      <xdr:colOff>751030</xdr:colOff>
      <xdr:row>7</xdr:row>
      <xdr:rowOff>81081</xdr:rowOff>
    </xdr:to>
    <xdr:pic>
      <xdr:nvPicPr>
        <xdr:cNvPr id="2" name="Picture 423">
          <a:extLst>
            <a:ext uri="{FF2B5EF4-FFF2-40B4-BE49-F238E27FC236}">
              <a16:creationId xmlns:a16="http://schemas.microsoft.com/office/drawing/2014/main" id="{CC96825E-5EF2-4994-BFDE-046F98D38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8000" contrast="36000"/>
        </a:blip>
        <a:srcRect/>
        <a:stretch>
          <a:fillRect/>
        </a:stretch>
      </xdr:blipFill>
      <xdr:spPr bwMode="auto">
        <a:xfrm rot="1033517">
          <a:off x="5987070" y="1596822"/>
          <a:ext cx="498010" cy="465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253020</xdr:colOff>
      <xdr:row>5</xdr:row>
      <xdr:rowOff>187122</xdr:rowOff>
    </xdr:from>
    <xdr:to>
      <xdr:col>6</xdr:col>
      <xdr:colOff>751030</xdr:colOff>
      <xdr:row>7</xdr:row>
      <xdr:rowOff>81081</xdr:rowOff>
    </xdr:to>
    <xdr:pic>
      <xdr:nvPicPr>
        <xdr:cNvPr id="2" name="Picture 423">
          <a:extLst>
            <a:ext uri="{FF2B5EF4-FFF2-40B4-BE49-F238E27FC236}">
              <a16:creationId xmlns:a16="http://schemas.microsoft.com/office/drawing/2014/main" id="{23E077D1-0244-4B09-AC71-233815E94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8000" contrast="36000"/>
        </a:blip>
        <a:srcRect/>
        <a:stretch>
          <a:fillRect/>
        </a:stretch>
      </xdr:blipFill>
      <xdr:spPr bwMode="auto">
        <a:xfrm rot="1033517">
          <a:off x="4367820" y="1234872"/>
          <a:ext cx="431335" cy="3130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39E4-2272-4675-B88C-8B7AAC89A212}">
  <dimension ref="A1:J34"/>
  <sheetViews>
    <sheetView tabSelected="1" topLeftCell="A3" zoomScaleNormal="100" workbookViewId="0">
      <selection activeCell="H20" sqref="H20"/>
    </sheetView>
  </sheetViews>
  <sheetFormatPr baseColWidth="10" defaultColWidth="8.83203125" defaultRowHeight="15"/>
  <cols>
    <col min="1" max="1" width="25.83203125" style="1" customWidth="1"/>
    <col min="2" max="3" width="8.1640625" style="1" customWidth="1"/>
    <col min="4" max="4" width="10.6640625" style="2" customWidth="1"/>
    <col min="5" max="5" width="11" style="2" customWidth="1"/>
    <col min="6" max="6" width="12.6640625" style="2" customWidth="1"/>
    <col min="7" max="7" width="10.33203125" style="1" customWidth="1"/>
    <col min="9" max="10" width="9.33203125" bestFit="1" customWidth="1"/>
  </cols>
  <sheetData>
    <row r="1" spans="1:10" ht="28.5" customHeight="1"/>
    <row r="2" spans="1:10" ht="28">
      <c r="A2" s="59" t="s">
        <v>23</v>
      </c>
      <c r="B2" s="60"/>
      <c r="C2" s="60"/>
      <c r="D2" s="60"/>
      <c r="E2" s="60"/>
      <c r="F2" s="60"/>
      <c r="G2" s="60"/>
    </row>
    <row r="3" spans="1:10">
      <c r="A3" s="31"/>
      <c r="B3" s="31"/>
      <c r="C3" s="31"/>
      <c r="D3" s="33"/>
      <c r="E3" s="32"/>
      <c r="F3" s="32"/>
      <c r="G3" s="31"/>
    </row>
    <row r="4" spans="1:10">
      <c r="C4" s="40"/>
      <c r="D4" s="42"/>
      <c r="E4" s="41"/>
      <c r="F4" s="41"/>
      <c r="G4" s="40"/>
    </row>
    <row r="5" spans="1:10" ht="22.5" customHeight="1">
      <c r="A5" s="66" t="s">
        <v>60</v>
      </c>
      <c r="B5" s="66"/>
      <c r="C5" s="39"/>
      <c r="D5" s="61" t="s">
        <v>22</v>
      </c>
      <c r="E5" s="62"/>
      <c r="F5" s="62"/>
      <c r="G5" s="63"/>
    </row>
    <row r="6" spans="1:10" ht="22.5" customHeight="1">
      <c r="A6" s="68"/>
      <c r="B6" s="68"/>
      <c r="C6" s="39"/>
      <c r="D6" s="34" t="s">
        <v>21</v>
      </c>
      <c r="E6" s="64" t="s">
        <v>20</v>
      </c>
      <c r="F6" s="64"/>
      <c r="G6" s="65"/>
    </row>
    <row r="7" spans="1:10" ht="22.5" customHeight="1">
      <c r="A7" s="67" t="s">
        <v>61</v>
      </c>
      <c r="B7" s="67"/>
      <c r="C7" s="38" t="s">
        <v>19</v>
      </c>
      <c r="D7" s="36" t="s">
        <v>18</v>
      </c>
      <c r="E7" s="57" t="s">
        <v>17</v>
      </c>
      <c r="F7" s="57"/>
      <c r="G7" s="58"/>
    </row>
    <row r="8" spans="1:10" ht="22.5" customHeight="1">
      <c r="A8" s="37" t="s">
        <v>16</v>
      </c>
      <c r="B8" s="69">
        <f>SUM(F34)</f>
        <v>3500</v>
      </c>
      <c r="C8" s="69"/>
      <c r="D8" s="36" t="s">
        <v>15</v>
      </c>
      <c r="E8" s="62" t="s">
        <v>14</v>
      </c>
      <c r="F8" s="62"/>
      <c r="G8" s="63"/>
    </row>
    <row r="9" spans="1:10" ht="22.5" customHeight="1">
      <c r="A9" s="70" t="e">
        <f>"일금" &amp; NUMBERSTRING(B8,1)&amp; "원정"</f>
        <v>#N/A</v>
      </c>
      <c r="B9" s="70"/>
      <c r="C9" s="70"/>
      <c r="D9" s="36" t="s">
        <v>13</v>
      </c>
      <c r="E9" s="62" t="s">
        <v>12</v>
      </c>
      <c r="F9" s="62"/>
      <c r="G9" s="63"/>
    </row>
    <row r="10" spans="1:10" ht="18.75" customHeight="1">
      <c r="A10" s="35" t="s">
        <v>11</v>
      </c>
      <c r="B10" s="31"/>
      <c r="C10" s="31"/>
      <c r="D10" s="34" t="s">
        <v>10</v>
      </c>
      <c r="E10" s="62" t="s">
        <v>27</v>
      </c>
      <c r="F10" s="62"/>
      <c r="G10" s="63"/>
    </row>
    <row r="11" spans="1:10">
      <c r="A11" s="31"/>
      <c r="B11" s="31"/>
      <c r="C11" s="31"/>
      <c r="D11" s="33"/>
      <c r="E11" s="32"/>
      <c r="F11" s="32"/>
      <c r="G11" s="31"/>
    </row>
    <row r="12" spans="1:10" ht="22.5" customHeight="1" thickBot="1">
      <c r="A12" s="28" t="s">
        <v>9</v>
      </c>
      <c r="B12" s="28" t="s">
        <v>8</v>
      </c>
      <c r="C12" s="28" t="s">
        <v>7</v>
      </c>
      <c r="D12" s="30" t="s">
        <v>6</v>
      </c>
      <c r="E12" s="29" t="s">
        <v>5</v>
      </c>
      <c r="F12" s="29" t="s">
        <v>4</v>
      </c>
      <c r="G12" s="28" t="s">
        <v>3</v>
      </c>
      <c r="J12" s="49"/>
    </row>
    <row r="13" spans="1:10" ht="21" customHeight="1">
      <c r="A13" s="19" t="s">
        <v>62</v>
      </c>
      <c r="B13" s="25"/>
      <c r="C13" s="16" t="s">
        <v>59</v>
      </c>
      <c r="D13" s="27">
        <v>1</v>
      </c>
      <c r="E13" s="56">
        <v>3500</v>
      </c>
      <c r="F13" s="14">
        <f>D13*E13</f>
        <v>3500</v>
      </c>
      <c r="G13" s="26"/>
      <c r="I13" s="49"/>
      <c r="J13" s="49"/>
    </row>
    <row r="14" spans="1:10" ht="21" customHeight="1">
      <c r="A14" s="19"/>
      <c r="B14" s="25"/>
      <c r="C14" s="24"/>
      <c r="D14" s="21"/>
      <c r="E14" s="56"/>
      <c r="F14" s="14"/>
      <c r="G14" s="19"/>
    </row>
    <row r="15" spans="1:10" ht="21" customHeight="1">
      <c r="A15" s="19"/>
      <c r="B15" s="25"/>
      <c r="C15" s="24"/>
      <c r="D15" s="21"/>
      <c r="E15" s="56"/>
      <c r="F15" s="14"/>
      <c r="G15" s="23"/>
    </row>
    <row r="16" spans="1:10" ht="21" customHeight="1">
      <c r="A16" s="19"/>
      <c r="B16" s="25"/>
      <c r="C16" s="24"/>
      <c r="D16" s="21"/>
      <c r="E16" s="56"/>
      <c r="F16" s="14"/>
      <c r="G16" s="13"/>
    </row>
    <row r="17" spans="1:7" ht="21" customHeight="1">
      <c r="A17" s="19"/>
      <c r="B17" s="13"/>
      <c r="C17" s="13"/>
      <c r="D17" s="15"/>
      <c r="E17" s="56"/>
      <c r="F17" s="14"/>
      <c r="G17" s="19"/>
    </row>
    <row r="18" spans="1:7" ht="21" customHeight="1">
      <c r="A18" s="19"/>
      <c r="B18" s="13"/>
      <c r="C18" s="13"/>
      <c r="D18" s="15"/>
      <c r="E18" s="56"/>
      <c r="F18" s="14"/>
      <c r="G18" s="13"/>
    </row>
    <row r="19" spans="1:7" ht="21" customHeight="1">
      <c r="A19" s="19"/>
      <c r="B19" s="53"/>
      <c r="C19" s="53"/>
      <c r="D19" s="52"/>
      <c r="E19" s="56"/>
      <c r="F19" s="14"/>
      <c r="G19" s="17"/>
    </row>
    <row r="20" spans="1:7" ht="21" customHeight="1">
      <c r="A20" s="19"/>
      <c r="B20" s="13"/>
      <c r="C20" s="13"/>
      <c r="D20" s="15"/>
      <c r="E20" s="56"/>
      <c r="F20" s="14"/>
      <c r="G20" s="17"/>
    </row>
    <row r="21" spans="1:7" ht="21" customHeight="1">
      <c r="A21" s="16"/>
      <c r="B21" s="13"/>
      <c r="C21" s="13"/>
      <c r="D21" s="15"/>
      <c r="E21" s="15"/>
      <c r="F21" s="14"/>
      <c r="G21" s="17"/>
    </row>
    <row r="22" spans="1:7" ht="21" customHeight="1">
      <c r="A22" s="16"/>
      <c r="B22" s="13"/>
      <c r="C22" s="13"/>
      <c r="D22" s="15"/>
      <c r="E22" s="15"/>
      <c r="F22" s="14"/>
      <c r="G22" s="17"/>
    </row>
    <row r="23" spans="1:7" ht="21" customHeight="1">
      <c r="A23" s="16"/>
      <c r="B23" s="13"/>
      <c r="C23" s="13"/>
      <c r="D23" s="15"/>
      <c r="E23" s="15"/>
      <c r="F23" s="14"/>
      <c r="G23" s="17"/>
    </row>
    <row r="24" spans="1:7" ht="21" customHeight="1">
      <c r="A24" s="16"/>
      <c r="B24" s="13"/>
      <c r="C24" s="13"/>
      <c r="D24" s="15"/>
      <c r="E24" s="15"/>
      <c r="F24" s="14"/>
      <c r="G24" s="17"/>
    </row>
    <row r="25" spans="1:7" ht="21" customHeight="1">
      <c r="A25" s="16"/>
      <c r="B25" s="13"/>
      <c r="C25" s="13"/>
      <c r="D25" s="15"/>
      <c r="E25" s="15"/>
      <c r="F25" s="14"/>
      <c r="G25" s="19"/>
    </row>
    <row r="26" spans="1:7" ht="21" customHeight="1">
      <c r="A26" s="16"/>
      <c r="B26" s="13"/>
      <c r="C26" s="13"/>
      <c r="D26" s="15"/>
      <c r="E26" s="15"/>
      <c r="F26" s="14"/>
      <c r="G26" s="17"/>
    </row>
    <row r="27" spans="1:7" ht="21" customHeight="1">
      <c r="A27" s="16"/>
      <c r="B27" s="13"/>
      <c r="C27" s="13"/>
      <c r="D27" s="15"/>
      <c r="E27" s="15"/>
      <c r="F27" s="14"/>
      <c r="G27" s="18"/>
    </row>
    <row r="28" spans="1:7" ht="21" customHeight="1">
      <c r="A28" s="16"/>
      <c r="B28" s="13"/>
      <c r="C28" s="13"/>
      <c r="D28" s="15"/>
      <c r="E28" s="15"/>
      <c r="F28" s="14"/>
      <c r="G28" s="17"/>
    </row>
    <row r="29" spans="1:7" ht="21" customHeight="1">
      <c r="A29" s="55"/>
      <c r="B29" s="13"/>
      <c r="C29" s="13"/>
      <c r="D29" s="15"/>
      <c r="E29" s="15"/>
      <c r="F29" s="14"/>
      <c r="G29" s="17"/>
    </row>
    <row r="30" spans="1:7" ht="21" customHeight="1">
      <c r="A30" s="16"/>
      <c r="B30" s="13"/>
      <c r="C30" s="13"/>
      <c r="D30" s="15"/>
      <c r="E30" s="15"/>
      <c r="F30" s="14"/>
      <c r="G30" s="17"/>
    </row>
    <row r="31" spans="1:7" ht="21" customHeight="1">
      <c r="A31" s="16"/>
      <c r="B31" s="13"/>
      <c r="C31" s="13"/>
      <c r="D31" s="15"/>
      <c r="E31" s="15"/>
      <c r="F31" s="14"/>
      <c r="G31" s="17"/>
    </row>
    <row r="32" spans="1:7" ht="21" customHeight="1">
      <c r="A32" s="16"/>
      <c r="B32" s="13"/>
      <c r="C32" s="13"/>
      <c r="D32" s="15"/>
      <c r="E32" s="15"/>
      <c r="F32" s="14"/>
      <c r="G32" s="13"/>
    </row>
    <row r="33" spans="1:7" ht="21" customHeight="1" thickBot="1">
      <c r="A33" s="12"/>
      <c r="B33" s="11"/>
      <c r="C33" s="11"/>
      <c r="D33" s="10"/>
      <c r="E33" s="10"/>
      <c r="F33" s="10"/>
      <c r="G33" s="9"/>
    </row>
    <row r="34" spans="1:7" ht="22.5" customHeight="1" thickTop="1">
      <c r="A34" s="43" t="s">
        <v>2</v>
      </c>
      <c r="B34" s="43"/>
      <c r="C34" s="44"/>
      <c r="D34" s="45"/>
      <c r="E34" s="46" t="s">
        <v>1</v>
      </c>
      <c r="F34" s="47">
        <f>SUM(F13:F33)</f>
        <v>3500</v>
      </c>
      <c r="G34" s="48" t="s">
        <v>0</v>
      </c>
    </row>
  </sheetData>
  <sheetProtection password="CE2A" sheet="1" objects="1" scenarios="1" selectLockedCells="1" selectUnlockedCells="1"/>
  <mergeCells count="12">
    <mergeCell ref="B8:C8"/>
    <mergeCell ref="E8:G8"/>
    <mergeCell ref="A9:C9"/>
    <mergeCell ref="E9:G9"/>
    <mergeCell ref="E10:G10"/>
    <mergeCell ref="E7:G7"/>
    <mergeCell ref="A2:G2"/>
    <mergeCell ref="D5:G5"/>
    <mergeCell ref="E6:G6"/>
    <mergeCell ref="A5:B5"/>
    <mergeCell ref="A7:B7"/>
    <mergeCell ref="A6:B6"/>
  </mergeCells>
  <phoneticPr fontId="2" type="noConversion"/>
  <pageMargins left="0.43307086614173229" right="0.43307086614173229" top="0.74803149606299213" bottom="0.55118110236220474" header="0.31496062992125984" footer="0.31496062992125984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237C-3A0F-447A-ACF1-5C6DD3D74A71}">
  <dimension ref="A1:J34"/>
  <sheetViews>
    <sheetView zoomScaleNormal="100" workbookViewId="0">
      <selection activeCell="C22" sqref="C22"/>
    </sheetView>
  </sheetViews>
  <sheetFormatPr baseColWidth="10" defaultColWidth="8.83203125" defaultRowHeight="15"/>
  <cols>
    <col min="1" max="1" width="25.83203125" style="1" customWidth="1"/>
    <col min="2" max="3" width="8.1640625" style="1" customWidth="1"/>
    <col min="4" max="4" width="10.6640625" style="2" customWidth="1"/>
    <col min="5" max="5" width="11" style="2" customWidth="1"/>
    <col min="6" max="6" width="12.6640625" style="2" customWidth="1"/>
    <col min="7" max="7" width="10.33203125" style="1" customWidth="1"/>
    <col min="10" max="10" width="9.33203125" bestFit="1" customWidth="1"/>
  </cols>
  <sheetData>
    <row r="1" spans="1:10" ht="28.5" customHeight="1"/>
    <row r="2" spans="1:10" ht="28">
      <c r="A2" s="59" t="s">
        <v>23</v>
      </c>
      <c r="B2" s="60"/>
      <c r="C2" s="60"/>
      <c r="D2" s="60"/>
      <c r="E2" s="60"/>
      <c r="F2" s="60"/>
      <c r="G2" s="60"/>
    </row>
    <row r="3" spans="1:10">
      <c r="A3" s="31"/>
      <c r="B3" s="31"/>
      <c r="C3" s="31"/>
      <c r="D3" s="33"/>
      <c r="E3" s="32"/>
      <c r="F3" s="32"/>
      <c r="G3" s="31"/>
    </row>
    <row r="4" spans="1:10">
      <c r="A4" s="40"/>
      <c r="B4" s="40"/>
      <c r="C4" s="40"/>
      <c r="D4" s="42"/>
      <c r="E4" s="41"/>
      <c r="F4" s="41"/>
      <c r="G4" s="40"/>
    </row>
    <row r="5" spans="1:10" ht="22.5" customHeight="1">
      <c r="A5" s="66" t="s">
        <v>31</v>
      </c>
      <c r="B5" s="66"/>
      <c r="C5" s="39"/>
      <c r="D5" s="61" t="s">
        <v>22</v>
      </c>
      <c r="E5" s="62"/>
      <c r="F5" s="62"/>
      <c r="G5" s="63"/>
    </row>
    <row r="6" spans="1:10" ht="22.5" customHeight="1">
      <c r="A6" s="71"/>
      <c r="B6" s="71"/>
      <c r="C6" s="39"/>
      <c r="D6" s="34" t="s">
        <v>21</v>
      </c>
      <c r="E6" s="64" t="s">
        <v>20</v>
      </c>
      <c r="F6" s="64"/>
      <c r="G6" s="65"/>
    </row>
    <row r="7" spans="1:10" ht="22.5" customHeight="1">
      <c r="A7" s="66" t="s">
        <v>28</v>
      </c>
      <c r="B7" s="66"/>
      <c r="C7" s="38" t="s">
        <v>19</v>
      </c>
      <c r="D7" s="36" t="s">
        <v>18</v>
      </c>
      <c r="E7" s="57" t="s">
        <v>17</v>
      </c>
      <c r="F7" s="57"/>
      <c r="G7" s="58"/>
    </row>
    <row r="8" spans="1:10" ht="22.5" customHeight="1">
      <c r="A8" s="37" t="s">
        <v>16</v>
      </c>
      <c r="B8" s="69">
        <f>SUM(F34)</f>
        <v>8000</v>
      </c>
      <c r="C8" s="69"/>
      <c r="D8" s="36" t="s">
        <v>15</v>
      </c>
      <c r="E8" s="62" t="s">
        <v>14</v>
      </c>
      <c r="F8" s="62"/>
      <c r="G8" s="63"/>
    </row>
    <row r="9" spans="1:10" ht="22.5" customHeight="1">
      <c r="A9" s="70" t="e">
        <f>"일금" &amp; NUMBERSTRING(B8,1)&amp; "원정"</f>
        <v>#N/A</v>
      </c>
      <c r="B9" s="70"/>
      <c r="C9" s="70"/>
      <c r="D9" s="36" t="s">
        <v>13</v>
      </c>
      <c r="E9" s="62" t="s">
        <v>12</v>
      </c>
      <c r="F9" s="62"/>
      <c r="G9" s="63"/>
    </row>
    <row r="10" spans="1:10" ht="22.5" customHeight="1">
      <c r="A10" s="35" t="s">
        <v>11</v>
      </c>
      <c r="B10" s="31"/>
      <c r="C10" s="31"/>
      <c r="D10" s="34" t="s">
        <v>10</v>
      </c>
      <c r="E10" s="62" t="s">
        <v>27</v>
      </c>
      <c r="F10" s="62"/>
      <c r="G10" s="63"/>
    </row>
    <row r="11" spans="1:10">
      <c r="A11" s="31"/>
      <c r="B11" s="31"/>
      <c r="C11" s="31"/>
      <c r="D11" s="33"/>
      <c r="E11" s="32"/>
      <c r="F11" s="32"/>
      <c r="G11" s="31"/>
    </row>
    <row r="12" spans="1:10" ht="22.5" customHeight="1" thickBot="1">
      <c r="A12" s="28" t="s">
        <v>9</v>
      </c>
      <c r="B12" s="28" t="s">
        <v>8</v>
      </c>
      <c r="C12" s="28" t="s">
        <v>7</v>
      </c>
      <c r="D12" s="30" t="s">
        <v>6</v>
      </c>
      <c r="E12" s="29" t="s">
        <v>5</v>
      </c>
      <c r="F12" s="29" t="s">
        <v>4</v>
      </c>
      <c r="G12" s="28" t="s">
        <v>3</v>
      </c>
      <c r="J12" s="49"/>
    </row>
    <row r="13" spans="1:10" ht="21" customHeight="1">
      <c r="A13" s="16" t="s">
        <v>32</v>
      </c>
      <c r="B13" s="25"/>
      <c r="C13" s="16"/>
      <c r="D13" s="50">
        <v>1</v>
      </c>
      <c r="E13" s="50">
        <v>8000</v>
      </c>
      <c r="F13" s="51">
        <f>D13*E13</f>
        <v>8000</v>
      </c>
      <c r="G13" s="26"/>
      <c r="J13" s="49"/>
    </row>
    <row r="14" spans="1:10" ht="21" customHeight="1">
      <c r="A14" s="16"/>
      <c r="B14" s="25"/>
      <c r="C14" s="24"/>
      <c r="D14" s="50"/>
      <c r="E14" s="50"/>
      <c r="F14" s="51"/>
      <c r="G14" s="19"/>
    </row>
    <row r="15" spans="1:10" ht="21" customHeight="1">
      <c r="A15" s="16"/>
      <c r="B15" s="13"/>
      <c r="C15" s="13"/>
      <c r="D15" s="52"/>
      <c r="E15" s="50"/>
      <c r="F15" s="51"/>
      <c r="G15" s="23"/>
    </row>
    <row r="16" spans="1:10" ht="21" customHeight="1">
      <c r="A16" s="16"/>
      <c r="B16" s="13"/>
      <c r="C16" s="13"/>
      <c r="D16" s="52"/>
      <c r="E16" s="52"/>
      <c r="F16" s="51"/>
      <c r="G16" s="13"/>
    </row>
    <row r="17" spans="1:7" ht="21" customHeight="1">
      <c r="A17" s="16"/>
      <c r="B17" s="53"/>
      <c r="C17" s="53"/>
      <c r="D17" s="52"/>
      <c r="E17" s="52"/>
      <c r="F17" s="51"/>
      <c r="G17" s="19"/>
    </row>
    <row r="18" spans="1:7" ht="21" customHeight="1">
      <c r="A18" s="16"/>
      <c r="B18" s="13"/>
      <c r="C18" s="13"/>
      <c r="D18" s="52"/>
      <c r="E18" s="52"/>
      <c r="F18" s="51"/>
      <c r="G18" s="13"/>
    </row>
    <row r="19" spans="1:7" ht="21" customHeight="1">
      <c r="A19" s="16"/>
      <c r="B19" s="53"/>
      <c r="C19" s="53"/>
      <c r="D19" s="52"/>
      <c r="E19" s="52"/>
      <c r="F19" s="51"/>
      <c r="G19" s="17"/>
    </row>
    <row r="20" spans="1:7" ht="21" customHeight="1">
      <c r="A20" s="16"/>
      <c r="B20" s="13"/>
      <c r="C20" s="13"/>
      <c r="D20" s="52"/>
      <c r="E20" s="52"/>
      <c r="F20" s="51"/>
      <c r="G20" s="17"/>
    </row>
    <row r="21" spans="1:7" ht="21" customHeight="1">
      <c r="A21" s="16"/>
      <c r="B21" s="13"/>
      <c r="C21" s="13"/>
      <c r="D21" s="50"/>
      <c r="E21" s="54"/>
      <c r="F21" s="51"/>
      <c r="G21" s="17"/>
    </row>
    <row r="22" spans="1:7" ht="21" customHeight="1">
      <c r="A22" s="16"/>
      <c r="B22" s="13"/>
      <c r="C22" s="13"/>
      <c r="D22" s="15"/>
      <c r="E22" s="15"/>
      <c r="F22" s="14"/>
      <c r="G22" s="17"/>
    </row>
    <row r="23" spans="1:7" ht="21" customHeight="1">
      <c r="A23" s="16"/>
      <c r="B23" s="13"/>
      <c r="C23" s="13"/>
      <c r="D23" s="20"/>
      <c r="E23" s="20"/>
      <c r="F23" s="14"/>
      <c r="G23" s="17"/>
    </row>
    <row r="24" spans="1:7" ht="21" customHeight="1">
      <c r="A24" s="16"/>
      <c r="B24" s="13"/>
      <c r="C24" s="13"/>
      <c r="D24" s="15"/>
      <c r="E24" s="15"/>
      <c r="F24" s="14"/>
      <c r="G24" s="17"/>
    </row>
    <row r="25" spans="1:7" ht="21" customHeight="1">
      <c r="A25" s="16"/>
      <c r="B25" s="13"/>
      <c r="C25" s="13"/>
      <c r="D25" s="15"/>
      <c r="E25" s="15"/>
      <c r="F25" s="14"/>
      <c r="G25" s="19"/>
    </row>
    <row r="26" spans="1:7" ht="21" customHeight="1">
      <c r="A26" s="16"/>
      <c r="B26" s="13"/>
      <c r="C26" s="13"/>
      <c r="D26" s="15"/>
      <c r="E26" s="15"/>
      <c r="F26" s="14"/>
      <c r="G26" s="17"/>
    </row>
    <row r="27" spans="1:7" ht="21" customHeight="1">
      <c r="A27" s="16"/>
      <c r="B27" s="13"/>
      <c r="C27" s="13"/>
      <c r="D27" s="15"/>
      <c r="E27" s="15"/>
      <c r="F27" s="14"/>
      <c r="G27" s="18"/>
    </row>
    <row r="28" spans="1:7" ht="21" customHeight="1">
      <c r="A28" s="16"/>
      <c r="B28" s="13"/>
      <c r="C28" s="13"/>
      <c r="D28" s="15"/>
      <c r="E28" s="15"/>
      <c r="F28" s="14"/>
      <c r="G28" s="17"/>
    </row>
    <row r="29" spans="1:7" ht="21" customHeight="1">
      <c r="A29" s="16"/>
      <c r="B29" s="13"/>
      <c r="C29" s="13"/>
      <c r="D29" s="15"/>
      <c r="E29" s="15"/>
      <c r="F29" s="14"/>
      <c r="G29" s="17"/>
    </row>
    <row r="30" spans="1:7" ht="21" customHeight="1">
      <c r="A30" s="16"/>
      <c r="B30" s="13"/>
      <c r="C30" s="13"/>
      <c r="D30" s="15"/>
      <c r="E30" s="15"/>
      <c r="F30" s="14"/>
      <c r="G30" s="17"/>
    </row>
    <row r="31" spans="1:7" ht="21" customHeight="1">
      <c r="A31" s="16"/>
      <c r="B31" s="13"/>
      <c r="C31" s="13"/>
      <c r="D31" s="15"/>
      <c r="E31" s="15"/>
      <c r="F31" s="14"/>
      <c r="G31" s="17"/>
    </row>
    <row r="32" spans="1:7" ht="21" customHeight="1">
      <c r="A32" s="16"/>
      <c r="B32" s="13"/>
      <c r="C32" s="13"/>
      <c r="D32" s="15"/>
      <c r="E32" s="15"/>
      <c r="F32" s="14"/>
      <c r="G32" s="13"/>
    </row>
    <row r="33" spans="1:7" ht="21" customHeight="1" thickBot="1">
      <c r="A33" s="12"/>
      <c r="B33" s="11"/>
      <c r="C33" s="11"/>
      <c r="D33" s="10"/>
      <c r="E33" s="10"/>
      <c r="F33" s="10"/>
      <c r="G33" s="9"/>
    </row>
    <row r="34" spans="1:7" ht="22.5" customHeight="1" thickTop="1">
      <c r="A34" s="43" t="s">
        <v>2</v>
      </c>
      <c r="B34" s="43"/>
      <c r="C34" s="44"/>
      <c r="D34" s="45"/>
      <c r="E34" s="46" t="s">
        <v>1</v>
      </c>
      <c r="F34" s="47">
        <f>SUM(F13:F33)</f>
        <v>8000</v>
      </c>
      <c r="G34" s="48" t="s">
        <v>0</v>
      </c>
    </row>
  </sheetData>
  <sheetProtection selectLockedCells="1" selectUnlockedCells="1"/>
  <mergeCells count="12">
    <mergeCell ref="A7:B7"/>
    <mergeCell ref="E7:G7"/>
    <mergeCell ref="A2:G2"/>
    <mergeCell ref="A5:B5"/>
    <mergeCell ref="D5:G5"/>
    <mergeCell ref="A6:B6"/>
    <mergeCell ref="E6:G6"/>
    <mergeCell ref="B8:C8"/>
    <mergeCell ref="E8:G8"/>
    <mergeCell ref="A9:C9"/>
    <mergeCell ref="E9:G9"/>
    <mergeCell ref="E10:G10"/>
  </mergeCells>
  <phoneticPr fontId="2" type="noConversion"/>
  <pageMargins left="0.43307086614173229" right="0.43307086614173229" top="0.74803149606299213" bottom="0.55118110236220474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0CFD-D412-4402-9911-F9B7528319E2}">
  <dimension ref="A1:J34"/>
  <sheetViews>
    <sheetView zoomScaleNormal="100" workbookViewId="0">
      <selection activeCell="B20" sqref="B20"/>
    </sheetView>
  </sheetViews>
  <sheetFormatPr baseColWidth="10" defaultColWidth="8.83203125" defaultRowHeight="15"/>
  <cols>
    <col min="1" max="1" width="25.83203125" style="1" customWidth="1"/>
    <col min="2" max="3" width="8.1640625" style="1" customWidth="1"/>
    <col min="4" max="4" width="10.6640625" style="2" customWidth="1"/>
    <col min="5" max="5" width="11" style="2" customWidth="1"/>
    <col min="6" max="6" width="12.6640625" style="2" customWidth="1"/>
    <col min="7" max="7" width="10.33203125" style="1" customWidth="1"/>
    <col min="10" max="10" width="9.33203125" bestFit="1" customWidth="1"/>
  </cols>
  <sheetData>
    <row r="1" spans="1:10" ht="28.5" customHeight="1"/>
    <row r="2" spans="1:10" ht="28">
      <c r="A2" s="59" t="s">
        <v>23</v>
      </c>
      <c r="B2" s="60"/>
      <c r="C2" s="60"/>
      <c r="D2" s="60"/>
      <c r="E2" s="60"/>
      <c r="F2" s="60"/>
      <c r="G2" s="60"/>
    </row>
    <row r="3" spans="1:10">
      <c r="A3" s="31"/>
      <c r="B3" s="31"/>
      <c r="C3" s="31"/>
      <c r="D3" s="33"/>
      <c r="E3" s="32"/>
      <c r="F3" s="32"/>
      <c r="G3" s="31"/>
    </row>
    <row r="4" spans="1:10">
      <c r="A4" s="40"/>
      <c r="B4" s="40"/>
      <c r="C4" s="40"/>
      <c r="D4" s="42"/>
      <c r="E4" s="41"/>
      <c r="F4" s="41"/>
      <c r="G4" s="40"/>
    </row>
    <row r="5" spans="1:10" ht="22.5" customHeight="1">
      <c r="A5" s="66" t="s">
        <v>30</v>
      </c>
      <c r="B5" s="66"/>
      <c r="C5" s="39"/>
      <c r="D5" s="61" t="s">
        <v>22</v>
      </c>
      <c r="E5" s="62"/>
      <c r="F5" s="62"/>
      <c r="G5" s="63"/>
    </row>
    <row r="6" spans="1:10" ht="22.5" customHeight="1">
      <c r="A6" s="71"/>
      <c r="B6" s="71"/>
      <c r="C6" s="39"/>
      <c r="D6" s="34" t="s">
        <v>21</v>
      </c>
      <c r="E6" s="64" t="s">
        <v>20</v>
      </c>
      <c r="F6" s="64"/>
      <c r="G6" s="65"/>
    </row>
    <row r="7" spans="1:10" ht="22.5" customHeight="1">
      <c r="A7" s="66" t="s">
        <v>28</v>
      </c>
      <c r="B7" s="66"/>
      <c r="C7" s="38" t="s">
        <v>19</v>
      </c>
      <c r="D7" s="36" t="s">
        <v>18</v>
      </c>
      <c r="E7" s="57" t="s">
        <v>17</v>
      </c>
      <c r="F7" s="57"/>
      <c r="G7" s="58"/>
    </row>
    <row r="8" spans="1:10" ht="22.5" customHeight="1">
      <c r="A8" s="37" t="s">
        <v>16</v>
      </c>
      <c r="B8" s="69">
        <f>SUM(F34)</f>
        <v>26700</v>
      </c>
      <c r="C8" s="69"/>
      <c r="D8" s="36" t="s">
        <v>15</v>
      </c>
      <c r="E8" s="62" t="s">
        <v>14</v>
      </c>
      <c r="F8" s="62"/>
      <c r="G8" s="63"/>
    </row>
    <row r="9" spans="1:10" ht="22.5" customHeight="1">
      <c r="A9" s="70" t="e">
        <f>"일금" &amp; NUMBERSTRING(B8,1)&amp; "원정"</f>
        <v>#N/A</v>
      </c>
      <c r="B9" s="70"/>
      <c r="C9" s="70"/>
      <c r="D9" s="36" t="s">
        <v>13</v>
      </c>
      <c r="E9" s="62" t="s">
        <v>12</v>
      </c>
      <c r="F9" s="62"/>
      <c r="G9" s="63"/>
    </row>
    <row r="10" spans="1:10" ht="22.5" customHeight="1">
      <c r="A10" s="35" t="s">
        <v>11</v>
      </c>
      <c r="B10" s="31"/>
      <c r="C10" s="31"/>
      <c r="D10" s="34" t="s">
        <v>10</v>
      </c>
      <c r="E10" s="62" t="s">
        <v>27</v>
      </c>
      <c r="F10" s="62"/>
      <c r="G10" s="63"/>
    </row>
    <row r="11" spans="1:10">
      <c r="A11" s="31"/>
      <c r="B11" s="31"/>
      <c r="C11" s="31"/>
      <c r="D11" s="33"/>
      <c r="E11" s="32"/>
      <c r="F11" s="32"/>
      <c r="G11" s="31"/>
    </row>
    <row r="12" spans="1:10" ht="22.5" customHeight="1" thickBot="1">
      <c r="A12" s="28" t="s">
        <v>9</v>
      </c>
      <c r="B12" s="28" t="s">
        <v>8</v>
      </c>
      <c r="C12" s="28" t="s">
        <v>7</v>
      </c>
      <c r="D12" s="30" t="s">
        <v>6</v>
      </c>
      <c r="E12" s="29" t="s">
        <v>5</v>
      </c>
      <c r="F12" s="29" t="s">
        <v>4</v>
      </c>
      <c r="G12" s="28" t="s">
        <v>3</v>
      </c>
      <c r="J12" s="49"/>
    </row>
    <row r="13" spans="1:10" ht="21" customHeight="1">
      <c r="A13" s="16" t="s">
        <v>33</v>
      </c>
      <c r="B13" s="25"/>
      <c r="C13" s="16"/>
      <c r="D13" s="50">
        <v>1</v>
      </c>
      <c r="E13" s="50">
        <v>12000</v>
      </c>
      <c r="F13" s="51">
        <f>D13*E13</f>
        <v>12000</v>
      </c>
      <c r="G13" s="26"/>
      <c r="J13" s="49"/>
    </row>
    <row r="14" spans="1:10" ht="21" customHeight="1">
      <c r="A14" s="16" t="s">
        <v>29</v>
      </c>
      <c r="B14" s="25"/>
      <c r="C14" s="24"/>
      <c r="D14" s="50">
        <v>1</v>
      </c>
      <c r="E14" s="50">
        <v>6700</v>
      </c>
      <c r="F14" s="51">
        <f t="shared" ref="F14:F15" si="0">D14*E14</f>
        <v>6700</v>
      </c>
      <c r="G14" s="19"/>
    </row>
    <row r="15" spans="1:10" ht="21" customHeight="1">
      <c r="A15" s="16" t="s">
        <v>34</v>
      </c>
      <c r="B15" s="13"/>
      <c r="C15" s="13"/>
      <c r="D15" s="52">
        <v>1</v>
      </c>
      <c r="E15" s="50">
        <v>8000</v>
      </c>
      <c r="F15" s="51">
        <f t="shared" si="0"/>
        <v>8000</v>
      </c>
      <c r="G15" s="23"/>
    </row>
    <row r="16" spans="1:10" ht="21" customHeight="1">
      <c r="A16" s="16"/>
      <c r="B16" s="13"/>
      <c r="C16" s="13"/>
      <c r="D16" s="52"/>
      <c r="E16" s="52"/>
      <c r="F16" s="51"/>
      <c r="G16" s="13"/>
    </row>
    <row r="17" spans="1:7" ht="21" customHeight="1">
      <c r="A17" s="16"/>
      <c r="B17" s="53"/>
      <c r="C17" s="53"/>
      <c r="D17" s="52"/>
      <c r="E17" s="52"/>
      <c r="F17" s="51"/>
      <c r="G17" s="19"/>
    </row>
    <row r="18" spans="1:7" ht="21" customHeight="1">
      <c r="A18" s="16"/>
      <c r="B18" s="13"/>
      <c r="C18" s="13"/>
      <c r="D18" s="52"/>
      <c r="E18" s="52"/>
      <c r="F18" s="51"/>
      <c r="G18" s="13"/>
    </row>
    <row r="19" spans="1:7" ht="21" customHeight="1">
      <c r="A19" s="16"/>
      <c r="B19" s="53"/>
      <c r="C19" s="53"/>
      <c r="D19" s="52"/>
      <c r="E19" s="52"/>
      <c r="F19" s="51"/>
      <c r="G19" s="17"/>
    </row>
    <row r="20" spans="1:7" ht="21" customHeight="1">
      <c r="A20" s="16"/>
      <c r="B20" s="13"/>
      <c r="C20" s="13"/>
      <c r="D20" s="52"/>
      <c r="E20" s="52"/>
      <c r="F20" s="51"/>
      <c r="G20" s="17"/>
    </row>
    <row r="21" spans="1:7" ht="21" customHeight="1">
      <c r="A21" s="16"/>
      <c r="B21" s="13"/>
      <c r="C21" s="13"/>
      <c r="D21" s="50"/>
      <c r="E21" s="54"/>
      <c r="F21" s="51"/>
      <c r="G21" s="17"/>
    </row>
    <row r="22" spans="1:7" ht="21" customHeight="1">
      <c r="A22" s="16"/>
      <c r="B22" s="13"/>
      <c r="C22" s="13"/>
      <c r="D22" s="15"/>
      <c r="E22" s="15"/>
      <c r="F22" s="14"/>
      <c r="G22" s="17"/>
    </row>
    <row r="23" spans="1:7" ht="21" customHeight="1">
      <c r="A23" s="16"/>
      <c r="B23" s="13"/>
      <c r="C23" s="13"/>
      <c r="D23" s="20"/>
      <c r="E23" s="20"/>
      <c r="F23" s="14"/>
      <c r="G23" s="17"/>
    </row>
    <row r="24" spans="1:7" ht="21" customHeight="1">
      <c r="A24" s="16"/>
      <c r="B24" s="13"/>
      <c r="C24" s="13"/>
      <c r="D24" s="15"/>
      <c r="E24" s="15"/>
      <c r="F24" s="14"/>
      <c r="G24" s="17"/>
    </row>
    <row r="25" spans="1:7" ht="21" customHeight="1">
      <c r="A25" s="16"/>
      <c r="B25" s="13"/>
      <c r="C25" s="13"/>
      <c r="D25" s="15"/>
      <c r="E25" s="15"/>
      <c r="F25" s="14"/>
      <c r="G25" s="19"/>
    </row>
    <row r="26" spans="1:7" ht="21" customHeight="1">
      <c r="A26" s="16"/>
      <c r="B26" s="13"/>
      <c r="C26" s="13"/>
      <c r="D26" s="15"/>
      <c r="E26" s="15"/>
      <c r="F26" s="14"/>
      <c r="G26" s="17"/>
    </row>
    <row r="27" spans="1:7" ht="21" customHeight="1">
      <c r="A27" s="16"/>
      <c r="B27" s="13"/>
      <c r="C27" s="13"/>
      <c r="D27" s="15"/>
      <c r="E27" s="15"/>
      <c r="F27" s="14"/>
      <c r="G27" s="18"/>
    </row>
    <row r="28" spans="1:7" ht="21" customHeight="1">
      <c r="A28" s="16"/>
      <c r="B28" s="13"/>
      <c r="C28" s="13"/>
      <c r="D28" s="15"/>
      <c r="E28" s="15"/>
      <c r="F28" s="14"/>
      <c r="G28" s="17"/>
    </row>
    <row r="29" spans="1:7" ht="21" customHeight="1">
      <c r="A29" s="16"/>
      <c r="B29" s="13"/>
      <c r="C29" s="13"/>
      <c r="D29" s="15"/>
      <c r="E29" s="15"/>
      <c r="F29" s="14"/>
      <c r="G29" s="17"/>
    </row>
    <row r="30" spans="1:7" ht="21" customHeight="1">
      <c r="A30" s="16"/>
      <c r="B30" s="13"/>
      <c r="C30" s="13"/>
      <c r="D30" s="15"/>
      <c r="E30" s="15"/>
      <c r="F30" s="14"/>
      <c r="G30" s="17"/>
    </row>
    <row r="31" spans="1:7" ht="21" customHeight="1">
      <c r="A31" s="16"/>
      <c r="B31" s="13"/>
      <c r="C31" s="13"/>
      <c r="D31" s="15"/>
      <c r="E31" s="15"/>
      <c r="F31" s="14"/>
      <c r="G31" s="17"/>
    </row>
    <row r="32" spans="1:7" ht="21" customHeight="1">
      <c r="A32" s="16"/>
      <c r="B32" s="13"/>
      <c r="C32" s="13"/>
      <c r="D32" s="15"/>
      <c r="E32" s="15"/>
      <c r="F32" s="14"/>
      <c r="G32" s="13"/>
    </row>
    <row r="33" spans="1:7" ht="21" customHeight="1" thickBot="1">
      <c r="A33" s="12"/>
      <c r="B33" s="11"/>
      <c r="C33" s="11"/>
      <c r="D33" s="10"/>
      <c r="E33" s="10"/>
      <c r="F33" s="10"/>
      <c r="G33" s="9"/>
    </row>
    <row r="34" spans="1:7" ht="22.5" customHeight="1" thickTop="1">
      <c r="A34" s="43" t="s">
        <v>2</v>
      </c>
      <c r="B34" s="43"/>
      <c r="C34" s="44"/>
      <c r="D34" s="45"/>
      <c r="E34" s="46" t="s">
        <v>1</v>
      </c>
      <c r="F34" s="47">
        <f>SUM(F13:F33)</f>
        <v>26700</v>
      </c>
      <c r="G34" s="48" t="s">
        <v>0</v>
      </c>
    </row>
  </sheetData>
  <sheetProtection selectLockedCells="1" selectUnlockedCells="1"/>
  <mergeCells count="12">
    <mergeCell ref="A7:B7"/>
    <mergeCell ref="E7:G7"/>
    <mergeCell ref="A2:G2"/>
    <mergeCell ref="A5:B5"/>
    <mergeCell ref="D5:G5"/>
    <mergeCell ref="A6:B6"/>
    <mergeCell ref="E6:G6"/>
    <mergeCell ref="B8:C8"/>
    <mergeCell ref="E8:G8"/>
    <mergeCell ref="A9:C9"/>
    <mergeCell ref="E9:G9"/>
    <mergeCell ref="E10:G10"/>
  </mergeCells>
  <phoneticPr fontId="2" type="noConversion"/>
  <pageMargins left="0.43307086614173229" right="0.43307086614173229" top="0.74803149606299213" bottom="0.5511811023622047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B27E-0938-4201-9952-38622407A93A}">
  <dimension ref="A1:J34"/>
  <sheetViews>
    <sheetView zoomScaleNormal="100" workbookViewId="0">
      <selection activeCell="B19" sqref="B19"/>
    </sheetView>
  </sheetViews>
  <sheetFormatPr baseColWidth="10" defaultColWidth="8.83203125" defaultRowHeight="15"/>
  <cols>
    <col min="1" max="1" width="25.83203125" style="1" customWidth="1"/>
    <col min="2" max="3" width="8.1640625" style="1" customWidth="1"/>
    <col min="4" max="4" width="10.6640625" style="2" customWidth="1"/>
    <col min="5" max="5" width="11" style="2" customWidth="1"/>
    <col min="6" max="6" width="12.6640625" style="2" customWidth="1"/>
    <col min="7" max="7" width="10.33203125" style="1" customWidth="1"/>
    <col min="10" max="10" width="9.33203125" bestFit="1" customWidth="1"/>
  </cols>
  <sheetData>
    <row r="1" spans="1:10" ht="28.5" customHeight="1"/>
    <row r="2" spans="1:10" ht="28">
      <c r="A2" s="59" t="s">
        <v>23</v>
      </c>
      <c r="B2" s="60"/>
      <c r="C2" s="60"/>
      <c r="D2" s="60"/>
      <c r="E2" s="60"/>
      <c r="F2" s="60"/>
      <c r="G2" s="60"/>
    </row>
    <row r="3" spans="1:10">
      <c r="A3" s="31"/>
      <c r="B3" s="31"/>
      <c r="C3" s="31"/>
      <c r="D3" s="33"/>
      <c r="E3" s="32"/>
      <c r="F3" s="32"/>
      <c r="G3" s="31"/>
    </row>
    <row r="4" spans="1:10">
      <c r="A4" s="40"/>
      <c r="B4" s="40"/>
      <c r="C4" s="40"/>
      <c r="D4" s="42"/>
      <c r="E4" s="41"/>
      <c r="F4" s="41"/>
      <c r="G4" s="40"/>
    </row>
    <row r="5" spans="1:10" ht="22.5" customHeight="1">
      <c r="A5" s="66" t="s">
        <v>35</v>
      </c>
      <c r="B5" s="66"/>
      <c r="C5" s="39"/>
      <c r="D5" s="61" t="s">
        <v>22</v>
      </c>
      <c r="E5" s="62"/>
      <c r="F5" s="62"/>
      <c r="G5" s="63"/>
    </row>
    <row r="6" spans="1:10" ht="22.5" customHeight="1">
      <c r="A6" s="71"/>
      <c r="B6" s="71"/>
      <c r="C6" s="39"/>
      <c r="D6" s="34" t="s">
        <v>21</v>
      </c>
      <c r="E6" s="64" t="s">
        <v>20</v>
      </c>
      <c r="F6" s="64"/>
      <c r="G6" s="65"/>
    </row>
    <row r="7" spans="1:10" ht="22.5" customHeight="1">
      <c r="A7" s="66" t="s">
        <v>28</v>
      </c>
      <c r="B7" s="66"/>
      <c r="C7" s="38" t="s">
        <v>19</v>
      </c>
      <c r="D7" s="36" t="s">
        <v>18</v>
      </c>
      <c r="E7" s="57" t="s">
        <v>17</v>
      </c>
      <c r="F7" s="57"/>
      <c r="G7" s="58"/>
    </row>
    <row r="8" spans="1:10" ht="22.5" customHeight="1">
      <c r="A8" s="37" t="s">
        <v>16</v>
      </c>
      <c r="B8" s="69">
        <f>SUM(F34)</f>
        <v>200000</v>
      </c>
      <c r="C8" s="69"/>
      <c r="D8" s="36" t="s">
        <v>15</v>
      </c>
      <c r="E8" s="62" t="s">
        <v>14</v>
      </c>
      <c r="F8" s="62"/>
      <c r="G8" s="63"/>
    </row>
    <row r="9" spans="1:10" ht="22.5" customHeight="1">
      <c r="A9" s="70" t="e">
        <f>"일금" &amp; NUMBERSTRING(B8,1)&amp; "원정"</f>
        <v>#N/A</v>
      </c>
      <c r="B9" s="70"/>
      <c r="C9" s="70"/>
      <c r="D9" s="36" t="s">
        <v>13</v>
      </c>
      <c r="E9" s="62" t="s">
        <v>12</v>
      </c>
      <c r="F9" s="62"/>
      <c r="G9" s="63"/>
    </row>
    <row r="10" spans="1:10" ht="22.5" customHeight="1">
      <c r="A10" s="35" t="s">
        <v>11</v>
      </c>
      <c r="B10" s="31"/>
      <c r="C10" s="31"/>
      <c r="D10" s="34" t="s">
        <v>10</v>
      </c>
      <c r="E10" s="62" t="s">
        <v>27</v>
      </c>
      <c r="F10" s="62"/>
      <c r="G10" s="63"/>
    </row>
    <row r="11" spans="1:10">
      <c r="A11" s="31"/>
      <c r="B11" s="31"/>
      <c r="C11" s="31"/>
      <c r="D11" s="33"/>
      <c r="E11" s="32"/>
      <c r="F11" s="32"/>
      <c r="G11" s="31"/>
    </row>
    <row r="12" spans="1:10" ht="22.5" customHeight="1" thickBot="1">
      <c r="A12" s="28" t="s">
        <v>9</v>
      </c>
      <c r="B12" s="28" t="s">
        <v>8</v>
      </c>
      <c r="C12" s="28" t="s">
        <v>7</v>
      </c>
      <c r="D12" s="30" t="s">
        <v>6</v>
      </c>
      <c r="E12" s="29" t="s">
        <v>5</v>
      </c>
      <c r="F12" s="29" t="s">
        <v>4</v>
      </c>
      <c r="G12" s="28" t="s">
        <v>3</v>
      </c>
      <c r="J12" s="49"/>
    </row>
    <row r="13" spans="1:10" ht="21" customHeight="1">
      <c r="A13" s="16" t="s">
        <v>36</v>
      </c>
      <c r="B13" s="25"/>
      <c r="C13" s="16"/>
      <c r="D13" s="50">
        <v>200</v>
      </c>
      <c r="E13" s="50">
        <v>1000</v>
      </c>
      <c r="F13" s="51">
        <f>D13*E13</f>
        <v>200000</v>
      </c>
      <c r="G13" s="26"/>
      <c r="J13" s="49"/>
    </row>
    <row r="14" spans="1:10" ht="21" customHeight="1">
      <c r="A14" s="16"/>
      <c r="B14" s="25"/>
      <c r="C14" s="24"/>
      <c r="D14" s="50"/>
      <c r="E14" s="50"/>
      <c r="F14" s="51"/>
      <c r="G14" s="19"/>
    </row>
    <row r="15" spans="1:10" ht="21" customHeight="1">
      <c r="A15" s="16"/>
      <c r="B15" s="13"/>
      <c r="C15" s="13"/>
      <c r="D15" s="52"/>
      <c r="E15" s="50"/>
      <c r="F15" s="51"/>
      <c r="G15" s="23"/>
    </row>
    <row r="16" spans="1:10" ht="21" customHeight="1">
      <c r="A16" s="16"/>
      <c r="B16" s="13"/>
      <c r="C16" s="13"/>
      <c r="D16" s="52"/>
      <c r="E16" s="52"/>
      <c r="F16" s="51"/>
      <c r="G16" s="13"/>
    </row>
    <row r="17" spans="1:7" ht="21" customHeight="1">
      <c r="A17" s="16"/>
      <c r="B17" s="53"/>
      <c r="C17" s="53"/>
      <c r="D17" s="52"/>
      <c r="E17" s="52"/>
      <c r="F17" s="51"/>
      <c r="G17" s="19"/>
    </row>
    <row r="18" spans="1:7" ht="21" customHeight="1">
      <c r="A18" s="16"/>
      <c r="B18" s="13"/>
      <c r="C18" s="13"/>
      <c r="D18" s="52"/>
      <c r="E18" s="52"/>
      <c r="F18" s="51"/>
      <c r="G18" s="13"/>
    </row>
    <row r="19" spans="1:7" ht="21" customHeight="1">
      <c r="A19" s="16"/>
      <c r="B19" s="53"/>
      <c r="C19" s="53"/>
      <c r="D19" s="52"/>
      <c r="E19" s="52"/>
      <c r="F19" s="51"/>
      <c r="G19" s="17"/>
    </row>
    <row r="20" spans="1:7" ht="21" customHeight="1">
      <c r="A20" s="16"/>
      <c r="B20" s="13"/>
      <c r="C20" s="13"/>
      <c r="D20" s="52"/>
      <c r="E20" s="52"/>
      <c r="F20" s="51"/>
      <c r="G20" s="17"/>
    </row>
    <row r="21" spans="1:7" ht="21" customHeight="1">
      <c r="A21" s="16"/>
      <c r="B21" s="13"/>
      <c r="C21" s="13"/>
      <c r="D21" s="50"/>
      <c r="E21" s="54"/>
      <c r="F21" s="51"/>
      <c r="G21" s="17"/>
    </row>
    <row r="22" spans="1:7" ht="21" customHeight="1">
      <c r="A22" s="16"/>
      <c r="B22" s="13"/>
      <c r="C22" s="13"/>
      <c r="D22" s="15"/>
      <c r="E22" s="15"/>
      <c r="F22" s="14"/>
      <c r="G22" s="17"/>
    </row>
    <row r="23" spans="1:7" ht="21" customHeight="1">
      <c r="A23" s="16"/>
      <c r="B23" s="13"/>
      <c r="C23" s="13"/>
      <c r="D23" s="20"/>
      <c r="E23" s="20"/>
      <c r="F23" s="14"/>
      <c r="G23" s="17"/>
    </row>
    <row r="24" spans="1:7" ht="21" customHeight="1">
      <c r="A24" s="16"/>
      <c r="B24" s="13"/>
      <c r="C24" s="13"/>
      <c r="D24" s="15"/>
      <c r="E24" s="15"/>
      <c r="F24" s="14"/>
      <c r="G24" s="17"/>
    </row>
    <row r="25" spans="1:7" ht="21" customHeight="1">
      <c r="A25" s="16"/>
      <c r="B25" s="13"/>
      <c r="C25" s="13"/>
      <c r="D25" s="15"/>
      <c r="E25" s="15"/>
      <c r="F25" s="14"/>
      <c r="G25" s="19"/>
    </row>
    <row r="26" spans="1:7" ht="21" customHeight="1">
      <c r="A26" s="16"/>
      <c r="B26" s="13"/>
      <c r="C26" s="13"/>
      <c r="D26" s="15"/>
      <c r="E26" s="15"/>
      <c r="F26" s="14"/>
      <c r="G26" s="17"/>
    </row>
    <row r="27" spans="1:7" ht="21" customHeight="1">
      <c r="A27" s="16"/>
      <c r="B27" s="13"/>
      <c r="C27" s="13"/>
      <c r="D27" s="15"/>
      <c r="E27" s="15"/>
      <c r="F27" s="14"/>
      <c r="G27" s="18"/>
    </row>
    <row r="28" spans="1:7" ht="21" customHeight="1">
      <c r="A28" s="16"/>
      <c r="B28" s="13"/>
      <c r="C28" s="13"/>
      <c r="D28" s="15"/>
      <c r="E28" s="15"/>
      <c r="F28" s="14"/>
      <c r="G28" s="17"/>
    </row>
    <row r="29" spans="1:7" ht="21" customHeight="1">
      <c r="A29" s="16"/>
      <c r="B29" s="13"/>
      <c r="C29" s="13"/>
      <c r="D29" s="15"/>
      <c r="E29" s="15"/>
      <c r="F29" s="14"/>
      <c r="G29" s="17"/>
    </row>
    <row r="30" spans="1:7" ht="21" customHeight="1">
      <c r="A30" s="16"/>
      <c r="B30" s="13"/>
      <c r="C30" s="13"/>
      <c r="D30" s="15"/>
      <c r="E30" s="15"/>
      <c r="F30" s="14"/>
      <c r="G30" s="17"/>
    </row>
    <row r="31" spans="1:7" ht="21" customHeight="1">
      <c r="A31" s="16"/>
      <c r="B31" s="13"/>
      <c r="C31" s="13"/>
      <c r="D31" s="15"/>
      <c r="E31" s="15"/>
      <c r="F31" s="14"/>
      <c r="G31" s="17"/>
    </row>
    <row r="32" spans="1:7" ht="21" customHeight="1">
      <c r="A32" s="16"/>
      <c r="B32" s="13"/>
      <c r="C32" s="13"/>
      <c r="D32" s="15"/>
      <c r="E32" s="15"/>
      <c r="F32" s="14"/>
      <c r="G32" s="13"/>
    </row>
    <row r="33" spans="1:7" ht="21" customHeight="1" thickBot="1">
      <c r="A33" s="12"/>
      <c r="B33" s="11"/>
      <c r="C33" s="11"/>
      <c r="D33" s="10"/>
      <c r="E33" s="10"/>
      <c r="F33" s="10"/>
      <c r="G33" s="9"/>
    </row>
    <row r="34" spans="1:7" ht="22.5" customHeight="1" thickTop="1">
      <c r="A34" s="43" t="s">
        <v>2</v>
      </c>
      <c r="B34" s="43"/>
      <c r="C34" s="44"/>
      <c r="D34" s="45"/>
      <c r="E34" s="46" t="s">
        <v>1</v>
      </c>
      <c r="F34" s="47">
        <f>SUM(F13:F33)</f>
        <v>200000</v>
      </c>
      <c r="G34" s="48" t="s">
        <v>0</v>
      </c>
    </row>
  </sheetData>
  <sheetProtection selectLockedCells="1" selectUnlockedCells="1"/>
  <mergeCells count="12">
    <mergeCell ref="A7:B7"/>
    <mergeCell ref="E7:G7"/>
    <mergeCell ref="A2:G2"/>
    <mergeCell ref="A5:B5"/>
    <mergeCell ref="D5:G5"/>
    <mergeCell ref="A6:B6"/>
    <mergeCell ref="E6:G6"/>
    <mergeCell ref="B8:C8"/>
    <mergeCell ref="E8:G8"/>
    <mergeCell ref="A9:C9"/>
    <mergeCell ref="E9:G9"/>
    <mergeCell ref="E10:G10"/>
  </mergeCells>
  <phoneticPr fontId="2" type="noConversion"/>
  <pageMargins left="0.43307086614173229" right="0.43307086614173229" top="0.74803149606299213" bottom="0.5511811023622047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D8DE-EB33-4F19-BD9E-F3D8B909234E}">
  <dimension ref="A1:G34"/>
  <sheetViews>
    <sheetView zoomScaleNormal="100" workbookViewId="0">
      <selection activeCell="A13" sqref="A13"/>
    </sheetView>
  </sheetViews>
  <sheetFormatPr baseColWidth="10" defaultColWidth="8.83203125" defaultRowHeight="15"/>
  <cols>
    <col min="1" max="1" width="25" style="1" customWidth="1"/>
    <col min="2" max="3" width="8.1640625" style="1" customWidth="1"/>
    <col min="4" max="4" width="11.5" style="2" customWidth="1"/>
    <col min="5" max="5" width="10.33203125" style="2" customWidth="1"/>
    <col min="6" max="6" width="13.6640625" style="2" customWidth="1"/>
    <col min="7" max="7" width="9.6640625" style="1" customWidth="1"/>
  </cols>
  <sheetData>
    <row r="1" spans="1:7" ht="28.5" customHeight="1"/>
    <row r="2" spans="1:7" ht="28">
      <c r="A2" s="59" t="s">
        <v>23</v>
      </c>
      <c r="B2" s="60"/>
      <c r="C2" s="60"/>
      <c r="D2" s="60"/>
      <c r="E2" s="60"/>
      <c r="F2" s="60"/>
      <c r="G2" s="60"/>
    </row>
    <row r="3" spans="1:7">
      <c r="A3" s="31"/>
      <c r="B3" s="31"/>
      <c r="C3" s="31"/>
      <c r="D3" s="33"/>
      <c r="E3" s="32"/>
      <c r="F3" s="32"/>
      <c r="G3" s="31"/>
    </row>
    <row r="4" spans="1:7">
      <c r="A4" s="40"/>
      <c r="B4" s="40"/>
      <c r="C4" s="40"/>
      <c r="D4" s="42"/>
      <c r="E4" s="41"/>
      <c r="F4" s="41"/>
      <c r="G4" s="40"/>
    </row>
    <row r="5" spans="1:7" ht="22.5" customHeight="1">
      <c r="A5" s="66" t="s">
        <v>56</v>
      </c>
      <c r="B5" s="66"/>
      <c r="C5" s="39"/>
      <c r="D5" s="61" t="s">
        <v>22</v>
      </c>
      <c r="E5" s="62"/>
      <c r="F5" s="62"/>
      <c r="G5" s="63"/>
    </row>
    <row r="6" spans="1:7" ht="22.5" customHeight="1">
      <c r="A6" s="71"/>
      <c r="B6" s="71"/>
      <c r="C6" s="39"/>
      <c r="D6" s="34" t="s">
        <v>21</v>
      </c>
      <c r="E6" s="64" t="s">
        <v>20</v>
      </c>
      <c r="F6" s="64"/>
      <c r="G6" s="65"/>
    </row>
    <row r="7" spans="1:7" ht="22.5" customHeight="1">
      <c r="A7" s="66" t="s">
        <v>58</v>
      </c>
      <c r="B7" s="66"/>
      <c r="C7" s="38" t="s">
        <v>19</v>
      </c>
      <c r="D7" s="36" t="s">
        <v>18</v>
      </c>
      <c r="E7" s="57" t="s">
        <v>17</v>
      </c>
      <c r="F7" s="57"/>
      <c r="G7" s="58"/>
    </row>
    <row r="8" spans="1:7" ht="22.5" customHeight="1">
      <c r="A8" s="37" t="s">
        <v>16</v>
      </c>
      <c r="B8" s="69">
        <f>SUM(F34)</f>
        <v>120000</v>
      </c>
      <c r="C8" s="69"/>
      <c r="D8" s="36" t="s">
        <v>15</v>
      </c>
      <c r="E8" s="62" t="s">
        <v>14</v>
      </c>
      <c r="F8" s="62"/>
      <c r="G8" s="63"/>
    </row>
    <row r="9" spans="1:7" ht="22.5" customHeight="1">
      <c r="A9" s="70" t="e">
        <f>"일금" &amp; NUMBERSTRING(B8,1)&amp; "원정"</f>
        <v>#N/A</v>
      </c>
      <c r="B9" s="70"/>
      <c r="C9" s="70"/>
      <c r="D9" s="36" t="s">
        <v>13</v>
      </c>
      <c r="E9" s="62" t="s">
        <v>12</v>
      </c>
      <c r="F9" s="62"/>
      <c r="G9" s="63"/>
    </row>
    <row r="10" spans="1:7" ht="22.5" customHeight="1">
      <c r="A10" s="35" t="s">
        <v>11</v>
      </c>
      <c r="B10" s="31"/>
      <c r="C10" s="31"/>
      <c r="D10" s="34" t="s">
        <v>10</v>
      </c>
      <c r="E10" s="62" t="s">
        <v>27</v>
      </c>
      <c r="F10" s="62"/>
      <c r="G10" s="63"/>
    </row>
    <row r="11" spans="1:7">
      <c r="A11" s="31"/>
      <c r="B11" s="31"/>
      <c r="C11" s="31"/>
      <c r="D11" s="33"/>
      <c r="E11" s="32"/>
      <c r="F11" s="32"/>
      <c r="G11" s="31"/>
    </row>
    <row r="12" spans="1:7" ht="22.5" customHeight="1" thickBot="1">
      <c r="A12" s="28" t="s">
        <v>9</v>
      </c>
      <c r="B12" s="28" t="s">
        <v>8</v>
      </c>
      <c r="C12" s="28" t="s">
        <v>7</v>
      </c>
      <c r="D12" s="30" t="s">
        <v>6</v>
      </c>
      <c r="E12" s="29" t="s">
        <v>5</v>
      </c>
      <c r="F12" s="29" t="s">
        <v>4</v>
      </c>
      <c r="G12" s="28" t="s">
        <v>3</v>
      </c>
    </row>
    <row r="13" spans="1:7" ht="21" customHeight="1">
      <c r="A13" s="16" t="s">
        <v>57</v>
      </c>
      <c r="B13" s="25"/>
      <c r="C13" s="16"/>
      <c r="D13" s="27">
        <v>200</v>
      </c>
      <c r="E13" s="27">
        <v>600</v>
      </c>
      <c r="F13" s="14">
        <f>D13*E13</f>
        <v>120000</v>
      </c>
      <c r="G13" s="26"/>
    </row>
    <row r="14" spans="1:7" ht="21" customHeight="1">
      <c r="A14" s="24"/>
      <c r="B14" s="25"/>
      <c r="C14" s="24"/>
      <c r="D14" s="21"/>
      <c r="E14" s="22"/>
      <c r="F14" s="14"/>
      <c r="G14" s="19"/>
    </row>
    <row r="15" spans="1:7" ht="21" customHeight="1">
      <c r="A15" s="16"/>
      <c r="B15" s="25"/>
      <c r="C15" s="24"/>
      <c r="D15" s="21"/>
      <c r="E15" s="15"/>
      <c r="F15" s="14"/>
      <c r="G15" s="23"/>
    </row>
    <row r="16" spans="1:7" ht="21" customHeight="1">
      <c r="A16" s="16"/>
      <c r="B16" s="25"/>
      <c r="C16" s="24"/>
      <c r="D16" s="21"/>
      <c r="E16" s="22"/>
      <c r="F16" s="14"/>
      <c r="G16" s="13"/>
    </row>
    <row r="17" spans="1:7" ht="21" customHeight="1">
      <c r="A17" s="16"/>
      <c r="B17" s="13"/>
      <c r="C17" s="13"/>
      <c r="D17" s="15"/>
      <c r="E17" s="22"/>
      <c r="F17" s="14"/>
      <c r="G17" s="19"/>
    </row>
    <row r="18" spans="1:7" ht="21" customHeight="1">
      <c r="A18" s="16"/>
      <c r="B18" s="13"/>
      <c r="C18" s="13"/>
      <c r="D18" s="15"/>
      <c r="E18" s="15"/>
      <c r="F18" s="14"/>
      <c r="G18" s="13"/>
    </row>
    <row r="19" spans="1:7" ht="21" customHeight="1">
      <c r="A19" s="16"/>
      <c r="B19" s="53"/>
      <c r="C19" s="53"/>
      <c r="D19" s="52"/>
      <c r="E19" s="52"/>
      <c r="F19" s="14"/>
      <c r="G19" s="17"/>
    </row>
    <row r="20" spans="1:7" ht="21" customHeight="1">
      <c r="A20" s="16"/>
      <c r="B20" s="13"/>
      <c r="C20" s="13"/>
      <c r="D20" s="15"/>
      <c r="E20" s="15"/>
      <c r="F20" s="14"/>
      <c r="G20" s="17"/>
    </row>
    <row r="21" spans="1:7" ht="21" customHeight="1">
      <c r="A21" s="16"/>
      <c r="B21" s="13"/>
      <c r="C21" s="13"/>
      <c r="D21" s="15"/>
      <c r="E21" s="15"/>
      <c r="F21" s="51"/>
      <c r="G21" s="17"/>
    </row>
    <row r="22" spans="1:7" ht="21" customHeight="1">
      <c r="A22" s="16"/>
      <c r="B22" s="13"/>
      <c r="C22" s="13"/>
      <c r="D22" s="15"/>
      <c r="E22" s="15"/>
      <c r="F22" s="14"/>
      <c r="G22" s="17"/>
    </row>
    <row r="23" spans="1:7" ht="21" customHeight="1">
      <c r="A23" s="16"/>
      <c r="B23" s="13"/>
      <c r="C23" s="13"/>
      <c r="D23" s="20"/>
      <c r="E23" s="20"/>
      <c r="F23" s="14"/>
      <c r="G23" s="17"/>
    </row>
    <row r="24" spans="1:7" ht="21" customHeight="1">
      <c r="A24" s="16"/>
      <c r="B24" s="13"/>
      <c r="C24" s="13"/>
      <c r="D24" s="15"/>
      <c r="E24" s="15"/>
      <c r="F24" s="14"/>
      <c r="G24" s="17"/>
    </row>
    <row r="25" spans="1:7" ht="21" customHeight="1">
      <c r="A25" s="16"/>
      <c r="B25" s="13"/>
      <c r="C25" s="13"/>
      <c r="D25" s="15"/>
      <c r="E25" s="15"/>
      <c r="F25" s="14"/>
      <c r="G25" s="19"/>
    </row>
    <row r="26" spans="1:7" ht="21" customHeight="1">
      <c r="A26" s="16"/>
      <c r="B26" s="13"/>
      <c r="C26" s="13"/>
      <c r="D26" s="15"/>
      <c r="E26" s="15"/>
      <c r="F26" s="14"/>
      <c r="G26" s="17"/>
    </row>
    <row r="27" spans="1:7" ht="21" customHeight="1">
      <c r="A27" s="16"/>
      <c r="B27" s="13"/>
      <c r="C27" s="13"/>
      <c r="D27" s="15"/>
      <c r="E27" s="15"/>
      <c r="F27" s="14"/>
      <c r="G27" s="18"/>
    </row>
    <row r="28" spans="1:7" ht="21" customHeight="1">
      <c r="A28" s="16"/>
      <c r="B28" s="13"/>
      <c r="C28" s="13"/>
      <c r="D28" s="15"/>
      <c r="E28" s="15"/>
      <c r="F28" s="14"/>
      <c r="G28" s="17"/>
    </row>
    <row r="29" spans="1:7" ht="21" customHeight="1">
      <c r="A29" s="16"/>
      <c r="B29" s="13"/>
      <c r="C29" s="13"/>
      <c r="D29" s="15"/>
      <c r="E29" s="15"/>
      <c r="F29" s="14"/>
      <c r="G29" s="17"/>
    </row>
    <row r="30" spans="1:7" ht="21" customHeight="1">
      <c r="A30" s="16"/>
      <c r="B30" s="13"/>
      <c r="C30" s="13"/>
      <c r="D30" s="15"/>
      <c r="E30" s="15"/>
      <c r="F30" s="14"/>
      <c r="G30" s="17"/>
    </row>
    <row r="31" spans="1:7" ht="21" customHeight="1">
      <c r="A31" s="16"/>
      <c r="B31" s="13"/>
      <c r="C31" s="13"/>
      <c r="D31" s="15"/>
      <c r="E31" s="15"/>
      <c r="F31" s="14"/>
      <c r="G31" s="17"/>
    </row>
    <row r="32" spans="1:7" ht="21" customHeight="1">
      <c r="A32" s="16"/>
      <c r="B32" s="13"/>
      <c r="C32" s="13"/>
      <c r="D32" s="15"/>
      <c r="E32" s="15"/>
      <c r="F32" s="14"/>
      <c r="G32" s="13"/>
    </row>
    <row r="33" spans="1:7" ht="21" customHeight="1" thickBot="1">
      <c r="A33" s="12"/>
      <c r="B33" s="11"/>
      <c r="C33" s="11"/>
      <c r="D33" s="10"/>
      <c r="E33" s="10"/>
      <c r="F33" s="10"/>
      <c r="G33" s="9"/>
    </row>
    <row r="34" spans="1:7" ht="22.5" customHeight="1" thickTop="1">
      <c r="A34" s="43" t="s">
        <v>2</v>
      </c>
      <c r="B34" s="43"/>
      <c r="C34" s="44"/>
      <c r="D34" s="45"/>
      <c r="E34" s="46" t="s">
        <v>1</v>
      </c>
      <c r="F34" s="47">
        <f>SUM(F13:F33)</f>
        <v>120000</v>
      </c>
      <c r="G34" s="48" t="s">
        <v>0</v>
      </c>
    </row>
  </sheetData>
  <sheetProtection selectLockedCells="1" selectUnlockedCells="1"/>
  <mergeCells count="12">
    <mergeCell ref="A7:B7"/>
    <mergeCell ref="E7:G7"/>
    <mergeCell ref="A2:G2"/>
    <mergeCell ref="A5:B5"/>
    <mergeCell ref="D5:G5"/>
    <mergeCell ref="A6:B6"/>
    <mergeCell ref="E6:G6"/>
    <mergeCell ref="B8:C8"/>
    <mergeCell ref="E8:G8"/>
    <mergeCell ref="A9:C9"/>
    <mergeCell ref="E9:G9"/>
    <mergeCell ref="E10:G10"/>
  </mergeCells>
  <phoneticPr fontId="2" type="noConversion"/>
  <pageMargins left="0.43307086614173229" right="0.43307086614173229" top="0.74803149606299213" bottom="0.5511811023622047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EB8E-35E9-42F3-AEF5-5F24372378D8}">
  <dimension ref="A1:J34"/>
  <sheetViews>
    <sheetView zoomScaleNormal="100" workbookViewId="0">
      <selection activeCell="K17" sqref="K17"/>
    </sheetView>
  </sheetViews>
  <sheetFormatPr baseColWidth="10" defaultColWidth="8.83203125" defaultRowHeight="15"/>
  <cols>
    <col min="1" max="1" width="25.83203125" style="1" customWidth="1"/>
    <col min="2" max="3" width="8.1640625" style="1" customWidth="1"/>
    <col min="4" max="4" width="10.6640625" style="2" customWidth="1"/>
    <col min="5" max="5" width="11" style="2" customWidth="1"/>
    <col min="6" max="6" width="12.6640625" style="2" customWidth="1"/>
    <col min="7" max="7" width="10.33203125" style="1" customWidth="1"/>
    <col min="10" max="10" width="9.33203125" bestFit="1" customWidth="1"/>
  </cols>
  <sheetData>
    <row r="1" spans="1:10" ht="28.5" customHeight="1"/>
    <row r="2" spans="1:10" ht="28">
      <c r="A2" s="59" t="s">
        <v>23</v>
      </c>
      <c r="B2" s="60"/>
      <c r="C2" s="60"/>
      <c r="D2" s="60"/>
      <c r="E2" s="60"/>
      <c r="F2" s="60"/>
      <c r="G2" s="60"/>
    </row>
    <row r="3" spans="1:10">
      <c r="A3" s="31"/>
      <c r="B3" s="31"/>
      <c r="C3" s="31"/>
      <c r="D3" s="33"/>
      <c r="E3" s="32"/>
      <c r="F3" s="32"/>
      <c r="G3" s="31"/>
    </row>
    <row r="4" spans="1:10">
      <c r="A4" s="40"/>
      <c r="B4" s="40"/>
      <c r="C4" s="40"/>
      <c r="D4" s="42"/>
      <c r="E4" s="41"/>
      <c r="F4" s="41"/>
      <c r="G4" s="40"/>
    </row>
    <row r="5" spans="1:10" ht="22.5" customHeight="1">
      <c r="A5" s="66" t="s">
        <v>55</v>
      </c>
      <c r="B5" s="66"/>
      <c r="C5" s="39"/>
      <c r="D5" s="61" t="s">
        <v>22</v>
      </c>
      <c r="E5" s="62"/>
      <c r="F5" s="62"/>
      <c r="G5" s="63"/>
    </row>
    <row r="6" spans="1:10" ht="22.5" customHeight="1">
      <c r="A6" s="71"/>
      <c r="B6" s="71"/>
      <c r="C6" s="39"/>
      <c r="D6" s="34" t="s">
        <v>21</v>
      </c>
      <c r="E6" s="64" t="s">
        <v>20</v>
      </c>
      <c r="F6" s="64"/>
      <c r="G6" s="65"/>
    </row>
    <row r="7" spans="1:10" ht="22.5" customHeight="1">
      <c r="A7" s="66" t="s">
        <v>53</v>
      </c>
      <c r="B7" s="66"/>
      <c r="C7" s="38" t="s">
        <v>19</v>
      </c>
      <c r="D7" s="36" t="s">
        <v>18</v>
      </c>
      <c r="E7" s="57" t="s">
        <v>17</v>
      </c>
      <c r="F7" s="57"/>
      <c r="G7" s="58"/>
    </row>
    <row r="8" spans="1:10" ht="22.5" customHeight="1">
      <c r="A8" s="37" t="s">
        <v>16</v>
      </c>
      <c r="B8" s="69">
        <f>SUM(F34)</f>
        <v>100000</v>
      </c>
      <c r="C8" s="69"/>
      <c r="D8" s="36" t="s">
        <v>15</v>
      </c>
      <c r="E8" s="62" t="s">
        <v>14</v>
      </c>
      <c r="F8" s="62"/>
      <c r="G8" s="63"/>
    </row>
    <row r="9" spans="1:10" ht="22.5" customHeight="1">
      <c r="A9" s="70" t="e">
        <f>"일금" &amp; NUMBERSTRING(B8,1)&amp; "원정"</f>
        <v>#N/A</v>
      </c>
      <c r="B9" s="70"/>
      <c r="C9" s="70"/>
      <c r="D9" s="36" t="s">
        <v>13</v>
      </c>
      <c r="E9" s="62" t="s">
        <v>12</v>
      </c>
      <c r="F9" s="62"/>
      <c r="G9" s="63"/>
    </row>
    <row r="10" spans="1:10" ht="22.5" customHeight="1">
      <c r="A10" s="35" t="s">
        <v>11</v>
      </c>
      <c r="B10" s="31"/>
      <c r="C10" s="31"/>
      <c r="D10" s="34" t="s">
        <v>10</v>
      </c>
      <c r="E10" s="62" t="s">
        <v>27</v>
      </c>
      <c r="F10" s="62"/>
      <c r="G10" s="63"/>
    </row>
    <row r="11" spans="1:10">
      <c r="A11" s="31"/>
      <c r="B11" s="31"/>
      <c r="C11" s="31"/>
      <c r="D11" s="33"/>
      <c r="E11" s="32"/>
      <c r="F11" s="32"/>
      <c r="G11" s="31"/>
    </row>
    <row r="12" spans="1:10" ht="22.5" customHeight="1" thickBot="1">
      <c r="A12" s="28" t="s">
        <v>9</v>
      </c>
      <c r="B12" s="28" t="s">
        <v>8</v>
      </c>
      <c r="C12" s="28" t="s">
        <v>7</v>
      </c>
      <c r="D12" s="30" t="s">
        <v>6</v>
      </c>
      <c r="E12" s="29" t="s">
        <v>5</v>
      </c>
      <c r="F12" s="29" t="s">
        <v>4</v>
      </c>
      <c r="G12" s="28" t="s">
        <v>3</v>
      </c>
      <c r="J12" s="49"/>
    </row>
    <row r="13" spans="1:10" ht="21" customHeight="1">
      <c r="A13" s="16" t="s">
        <v>54</v>
      </c>
      <c r="B13" s="25"/>
      <c r="C13" s="16"/>
      <c r="D13" s="27">
        <v>10</v>
      </c>
      <c r="E13" s="27">
        <v>10000</v>
      </c>
      <c r="F13" s="14">
        <f>D13*E13</f>
        <v>100000</v>
      </c>
      <c r="G13" s="26"/>
      <c r="J13" s="49"/>
    </row>
    <row r="14" spans="1:10" ht="21" customHeight="1">
      <c r="A14" s="24"/>
      <c r="B14" s="25"/>
      <c r="C14" s="24"/>
      <c r="D14" s="21"/>
      <c r="E14" s="22"/>
      <c r="F14" s="14"/>
      <c r="G14" s="19"/>
    </row>
    <row r="15" spans="1:10" ht="21" customHeight="1">
      <c r="A15" s="16"/>
      <c r="B15" s="25"/>
      <c r="C15" s="24"/>
      <c r="D15" s="21"/>
      <c r="E15" s="15"/>
      <c r="F15" s="14"/>
      <c r="G15" s="23"/>
    </row>
    <row r="16" spans="1:10" ht="21" customHeight="1">
      <c r="A16" s="16"/>
      <c r="B16" s="25"/>
      <c r="C16" s="24"/>
      <c r="D16" s="21"/>
      <c r="E16" s="22"/>
      <c r="F16" s="14"/>
      <c r="G16" s="13"/>
    </row>
    <row r="17" spans="1:7" ht="21" customHeight="1">
      <c r="A17" s="16"/>
      <c r="B17" s="13"/>
      <c r="C17" s="13"/>
      <c r="D17" s="15"/>
      <c r="E17" s="22"/>
      <c r="F17" s="14"/>
      <c r="G17" s="19"/>
    </row>
    <row r="18" spans="1:7" ht="21" customHeight="1">
      <c r="A18" s="16"/>
      <c r="B18" s="13"/>
      <c r="C18" s="13"/>
      <c r="D18" s="15"/>
      <c r="E18" s="15"/>
      <c r="F18" s="14"/>
      <c r="G18" s="13"/>
    </row>
    <row r="19" spans="1:7" ht="21" customHeight="1">
      <c r="A19" s="16"/>
      <c r="B19" s="53"/>
      <c r="C19" s="53"/>
      <c r="D19" s="52"/>
      <c r="E19" s="52"/>
      <c r="F19" s="14"/>
      <c r="G19" s="17"/>
    </row>
    <row r="20" spans="1:7" ht="21" customHeight="1">
      <c r="A20" s="16"/>
      <c r="B20" s="13"/>
      <c r="C20" s="13"/>
      <c r="D20" s="15"/>
      <c r="E20" s="15"/>
      <c r="F20" s="14"/>
      <c r="G20" s="17"/>
    </row>
    <row r="21" spans="1:7" ht="21" customHeight="1">
      <c r="A21" s="16"/>
      <c r="B21" s="13"/>
      <c r="C21" s="13"/>
      <c r="D21" s="21"/>
      <c r="E21" s="20"/>
      <c r="F21" s="14"/>
      <c r="G21" s="17"/>
    </row>
    <row r="22" spans="1:7" ht="21" customHeight="1">
      <c r="A22" s="16"/>
      <c r="B22" s="13"/>
      <c r="C22" s="13"/>
      <c r="D22" s="15"/>
      <c r="E22" s="15"/>
      <c r="F22" s="14"/>
      <c r="G22" s="17"/>
    </row>
    <row r="23" spans="1:7" ht="21" customHeight="1">
      <c r="A23" s="16"/>
      <c r="B23" s="13"/>
      <c r="C23" s="13"/>
      <c r="D23" s="20"/>
      <c r="E23" s="20"/>
      <c r="F23" s="51">
        <f t="shared" ref="F23" si="0">D23*E23</f>
        <v>0</v>
      </c>
      <c r="G23" s="17"/>
    </row>
    <row r="24" spans="1:7" ht="21" customHeight="1">
      <c r="A24" s="16"/>
      <c r="B24" s="13"/>
      <c r="C24" s="13"/>
      <c r="D24" s="15"/>
      <c r="E24" s="15"/>
      <c r="F24" s="14"/>
      <c r="G24" s="17"/>
    </row>
    <row r="25" spans="1:7" ht="21" customHeight="1">
      <c r="A25" s="16"/>
      <c r="B25" s="13"/>
      <c r="C25" s="13"/>
      <c r="D25" s="15"/>
      <c r="E25" s="15"/>
      <c r="F25" s="14"/>
      <c r="G25" s="19"/>
    </row>
    <row r="26" spans="1:7" ht="21" customHeight="1">
      <c r="A26" s="16"/>
      <c r="B26" s="13"/>
      <c r="C26" s="13"/>
      <c r="D26" s="15"/>
      <c r="E26" s="15"/>
      <c r="F26" s="14"/>
      <c r="G26" s="17"/>
    </row>
    <row r="27" spans="1:7" ht="21" customHeight="1">
      <c r="A27" s="16"/>
      <c r="B27" s="13"/>
      <c r="C27" s="13"/>
      <c r="D27" s="15"/>
      <c r="E27" s="15"/>
      <c r="F27" s="14"/>
      <c r="G27" s="18"/>
    </row>
    <row r="28" spans="1:7" ht="21" customHeight="1">
      <c r="A28" s="16"/>
      <c r="B28" s="13"/>
      <c r="C28" s="13"/>
      <c r="D28" s="15"/>
      <c r="E28" s="15"/>
      <c r="F28" s="14"/>
      <c r="G28" s="17"/>
    </row>
    <row r="29" spans="1:7" ht="21" customHeight="1">
      <c r="A29" s="16"/>
      <c r="B29" s="13"/>
      <c r="C29" s="13"/>
      <c r="D29" s="15"/>
      <c r="E29" s="15"/>
      <c r="F29" s="14"/>
      <c r="G29" s="17"/>
    </row>
    <row r="30" spans="1:7" ht="21" customHeight="1">
      <c r="A30" s="16"/>
      <c r="B30" s="13"/>
      <c r="C30" s="13"/>
      <c r="D30" s="15"/>
      <c r="E30" s="15"/>
      <c r="F30" s="14"/>
      <c r="G30" s="17"/>
    </row>
    <row r="31" spans="1:7" ht="21" customHeight="1">
      <c r="A31" s="16"/>
      <c r="B31" s="13"/>
      <c r="C31" s="13"/>
      <c r="D31" s="15"/>
      <c r="E31" s="15"/>
      <c r="F31" s="14"/>
      <c r="G31" s="17"/>
    </row>
    <row r="32" spans="1:7" ht="21" customHeight="1">
      <c r="A32" s="16"/>
      <c r="B32" s="13"/>
      <c r="C32" s="13"/>
      <c r="D32" s="15"/>
      <c r="E32" s="15"/>
      <c r="F32" s="14"/>
      <c r="G32" s="13"/>
    </row>
    <row r="33" spans="1:7" ht="21" customHeight="1" thickBot="1">
      <c r="A33" s="12"/>
      <c r="B33" s="11"/>
      <c r="C33" s="11"/>
      <c r="D33" s="10"/>
      <c r="E33" s="10"/>
      <c r="F33" s="10"/>
      <c r="G33" s="9"/>
    </row>
    <row r="34" spans="1:7" ht="22.5" customHeight="1" thickTop="1">
      <c r="A34" s="43" t="s">
        <v>2</v>
      </c>
      <c r="B34" s="43"/>
      <c r="C34" s="44"/>
      <c r="D34" s="45"/>
      <c r="E34" s="46" t="s">
        <v>1</v>
      </c>
      <c r="F34" s="47">
        <f>SUM(F13:F33)</f>
        <v>100000</v>
      </c>
      <c r="G34" s="48" t="s">
        <v>0</v>
      </c>
    </row>
  </sheetData>
  <sheetProtection selectLockedCells="1" selectUnlockedCells="1"/>
  <mergeCells count="12">
    <mergeCell ref="A7:B7"/>
    <mergeCell ref="E7:G7"/>
    <mergeCell ref="A2:G2"/>
    <mergeCell ref="A5:B5"/>
    <mergeCell ref="D5:G5"/>
    <mergeCell ref="A6:B6"/>
    <mergeCell ref="E6:G6"/>
    <mergeCell ref="B8:C8"/>
    <mergeCell ref="E8:G8"/>
    <mergeCell ref="A9:C9"/>
    <mergeCell ref="E9:G9"/>
    <mergeCell ref="E10:G10"/>
  </mergeCells>
  <phoneticPr fontId="2" type="noConversion"/>
  <pageMargins left="0.43307086614173229" right="0.43307086614173229" top="0.74803149606299213" bottom="0.55118110236220474" header="0.31496062992125984" footer="0.31496062992125984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6790-588C-4954-8A37-7788C4B06E2A}">
  <dimension ref="A1:J34"/>
  <sheetViews>
    <sheetView zoomScaleNormal="100" workbookViewId="0">
      <selection activeCell="E19" sqref="E19"/>
    </sheetView>
  </sheetViews>
  <sheetFormatPr baseColWidth="10" defaultColWidth="8.83203125" defaultRowHeight="15"/>
  <cols>
    <col min="1" max="1" width="25.83203125" style="1" customWidth="1"/>
    <col min="2" max="3" width="8.1640625" style="1" customWidth="1"/>
    <col min="4" max="4" width="10.6640625" style="2" customWidth="1"/>
    <col min="5" max="5" width="11" style="2" customWidth="1"/>
    <col min="6" max="6" width="12.6640625" style="2" customWidth="1"/>
    <col min="7" max="7" width="10.33203125" style="1" customWidth="1"/>
    <col min="10" max="10" width="9.33203125" bestFit="1" customWidth="1"/>
  </cols>
  <sheetData>
    <row r="1" spans="1:10" ht="28.5" customHeight="1"/>
    <row r="2" spans="1:10" ht="28">
      <c r="A2" s="59" t="s">
        <v>23</v>
      </c>
      <c r="B2" s="60"/>
      <c r="C2" s="60"/>
      <c r="D2" s="60"/>
      <c r="E2" s="60"/>
      <c r="F2" s="60"/>
      <c r="G2" s="60"/>
    </row>
    <row r="3" spans="1:10">
      <c r="A3" s="31"/>
      <c r="B3" s="31"/>
      <c r="C3" s="31"/>
      <c r="D3" s="33"/>
      <c r="E3" s="32"/>
      <c r="F3" s="32"/>
      <c r="G3" s="31"/>
    </row>
    <row r="4" spans="1:10">
      <c r="A4" s="40"/>
      <c r="B4" s="40"/>
      <c r="C4" s="40"/>
      <c r="D4" s="42"/>
      <c r="E4" s="41"/>
      <c r="F4" s="41"/>
      <c r="G4" s="40"/>
    </row>
    <row r="5" spans="1:10" ht="22.5" customHeight="1">
      <c r="A5" s="66" t="s">
        <v>40</v>
      </c>
      <c r="B5" s="66"/>
      <c r="C5" s="39"/>
      <c r="D5" s="61" t="s">
        <v>22</v>
      </c>
      <c r="E5" s="62"/>
      <c r="F5" s="62"/>
      <c r="G5" s="63"/>
    </row>
    <row r="6" spans="1:10" ht="22.5" customHeight="1">
      <c r="A6" s="71"/>
      <c r="B6" s="71"/>
      <c r="C6" s="39"/>
      <c r="D6" s="34" t="s">
        <v>21</v>
      </c>
      <c r="E6" s="64" t="s">
        <v>20</v>
      </c>
      <c r="F6" s="64"/>
      <c r="G6" s="65"/>
    </row>
    <row r="7" spans="1:10" ht="22.5" customHeight="1">
      <c r="A7" s="66" t="s">
        <v>41</v>
      </c>
      <c r="B7" s="66"/>
      <c r="C7" s="38" t="s">
        <v>19</v>
      </c>
      <c r="D7" s="36" t="s">
        <v>18</v>
      </c>
      <c r="E7" s="57" t="s">
        <v>17</v>
      </c>
      <c r="F7" s="57"/>
      <c r="G7" s="58"/>
    </row>
    <row r="8" spans="1:10" ht="22.5" customHeight="1">
      <c r="A8" s="37" t="s">
        <v>16</v>
      </c>
      <c r="B8" s="69">
        <f>SUM(F34)</f>
        <v>210500</v>
      </c>
      <c r="C8" s="69"/>
      <c r="D8" s="36" t="s">
        <v>15</v>
      </c>
      <c r="E8" s="62" t="s">
        <v>14</v>
      </c>
      <c r="F8" s="62"/>
      <c r="G8" s="63"/>
    </row>
    <row r="9" spans="1:10" ht="22.5" customHeight="1">
      <c r="A9" s="70" t="e">
        <f>"일금" &amp; NUMBERSTRING(B8,1)&amp; "원정"</f>
        <v>#N/A</v>
      </c>
      <c r="B9" s="70"/>
      <c r="C9" s="70"/>
      <c r="D9" s="36" t="s">
        <v>13</v>
      </c>
      <c r="E9" s="62" t="s">
        <v>12</v>
      </c>
      <c r="F9" s="62"/>
      <c r="G9" s="63"/>
    </row>
    <row r="10" spans="1:10" ht="22.5" customHeight="1">
      <c r="A10" s="35" t="s">
        <v>11</v>
      </c>
      <c r="B10" s="31"/>
      <c r="C10" s="31"/>
      <c r="D10" s="34" t="s">
        <v>10</v>
      </c>
      <c r="E10" s="62" t="s">
        <v>27</v>
      </c>
      <c r="F10" s="62"/>
      <c r="G10" s="63"/>
    </row>
    <row r="11" spans="1:10">
      <c r="A11" s="31"/>
      <c r="B11" s="31"/>
      <c r="C11" s="31"/>
      <c r="D11" s="33"/>
      <c r="E11" s="32"/>
      <c r="F11" s="32"/>
      <c r="G11" s="31"/>
    </row>
    <row r="12" spans="1:10" ht="22.5" customHeight="1" thickBot="1">
      <c r="A12" s="28" t="s">
        <v>9</v>
      </c>
      <c r="B12" s="28" t="s">
        <v>8</v>
      </c>
      <c r="C12" s="28" t="s">
        <v>7</v>
      </c>
      <c r="D12" s="30" t="s">
        <v>6</v>
      </c>
      <c r="E12" s="29" t="s">
        <v>5</v>
      </c>
      <c r="F12" s="29" t="s">
        <v>4</v>
      </c>
      <c r="G12" s="28" t="s">
        <v>3</v>
      </c>
      <c r="J12" s="49"/>
    </row>
    <row r="13" spans="1:10" ht="21" customHeight="1">
      <c r="A13" s="16" t="s">
        <v>42</v>
      </c>
      <c r="B13" s="25"/>
      <c r="C13" s="16"/>
      <c r="D13" s="50">
        <v>15</v>
      </c>
      <c r="E13" s="50">
        <v>9700</v>
      </c>
      <c r="F13" s="51">
        <f>D13*E13</f>
        <v>145500</v>
      </c>
      <c r="G13" s="26"/>
      <c r="J13" s="49"/>
    </row>
    <row r="14" spans="1:10" ht="21" customHeight="1">
      <c r="A14" s="16" t="s">
        <v>43</v>
      </c>
      <c r="B14" s="25"/>
      <c r="C14" s="24"/>
      <c r="D14" s="50">
        <v>4</v>
      </c>
      <c r="E14" s="50">
        <v>3600</v>
      </c>
      <c r="F14" s="51">
        <f>D14*E14</f>
        <v>14400</v>
      </c>
      <c r="G14" s="19"/>
    </row>
    <row r="15" spans="1:10" ht="21" customHeight="1">
      <c r="A15" s="16" t="s">
        <v>44</v>
      </c>
      <c r="B15" s="13"/>
      <c r="C15" s="13"/>
      <c r="D15" s="52">
        <v>7</v>
      </c>
      <c r="E15" s="50">
        <v>1000</v>
      </c>
      <c r="F15" s="51">
        <f t="shared" ref="F15:F18" si="0">D15*E15</f>
        <v>7000</v>
      </c>
      <c r="G15" s="23"/>
    </row>
    <row r="16" spans="1:10" ht="21" customHeight="1">
      <c r="A16" s="16" t="s">
        <v>45</v>
      </c>
      <c r="B16" s="13"/>
      <c r="C16" s="13"/>
      <c r="D16" s="52">
        <v>1</v>
      </c>
      <c r="E16" s="52">
        <v>600</v>
      </c>
      <c r="F16" s="51">
        <f t="shared" si="0"/>
        <v>600</v>
      </c>
      <c r="G16" s="13"/>
    </row>
    <row r="17" spans="1:7" ht="21" customHeight="1">
      <c r="A17" s="16" t="s">
        <v>46</v>
      </c>
      <c r="B17" s="53"/>
      <c r="C17" s="53"/>
      <c r="D17" s="52">
        <v>1</v>
      </c>
      <c r="E17" s="52">
        <v>7000</v>
      </c>
      <c r="F17" s="51">
        <f t="shared" si="0"/>
        <v>7000</v>
      </c>
      <c r="G17" s="19"/>
    </row>
    <row r="18" spans="1:7" ht="21" customHeight="1">
      <c r="A18" s="16" t="s">
        <v>47</v>
      </c>
      <c r="B18" s="13"/>
      <c r="C18" s="13"/>
      <c r="D18" s="52">
        <v>6</v>
      </c>
      <c r="E18" s="52">
        <v>6000</v>
      </c>
      <c r="F18" s="51">
        <f t="shared" si="0"/>
        <v>36000</v>
      </c>
      <c r="G18" s="13"/>
    </row>
    <row r="19" spans="1:7" ht="21" customHeight="1">
      <c r="A19" s="16"/>
      <c r="B19" s="53"/>
      <c r="C19" s="53"/>
      <c r="D19" s="52"/>
      <c r="E19" s="52"/>
      <c r="F19" s="51"/>
      <c r="G19" s="17"/>
    </row>
    <row r="20" spans="1:7" ht="21" customHeight="1">
      <c r="A20" s="16"/>
      <c r="B20" s="13"/>
      <c r="C20" s="13"/>
      <c r="D20" s="52"/>
      <c r="E20" s="52"/>
      <c r="F20" s="51"/>
      <c r="G20" s="17"/>
    </row>
    <row r="21" spans="1:7" ht="21" customHeight="1">
      <c r="A21" s="16"/>
      <c r="B21" s="13"/>
      <c r="C21" s="13"/>
      <c r="D21" s="21"/>
      <c r="E21" s="20"/>
      <c r="F21" s="14"/>
      <c r="G21" s="17"/>
    </row>
    <row r="22" spans="1:7" ht="21" customHeight="1">
      <c r="A22" s="16"/>
      <c r="B22" s="13"/>
      <c r="C22" s="13"/>
      <c r="D22" s="15"/>
      <c r="E22" s="15"/>
      <c r="F22" s="14"/>
      <c r="G22" s="17"/>
    </row>
    <row r="23" spans="1:7" ht="21" customHeight="1">
      <c r="A23" s="16"/>
      <c r="B23" s="13"/>
      <c r="C23" s="13"/>
      <c r="D23" s="20"/>
      <c r="E23" s="20"/>
      <c r="F23" s="14"/>
      <c r="G23" s="17"/>
    </row>
    <row r="24" spans="1:7" ht="21" customHeight="1">
      <c r="A24" s="16"/>
      <c r="B24" s="13"/>
      <c r="C24" s="13"/>
      <c r="D24" s="15"/>
      <c r="E24" s="15"/>
      <c r="F24" s="14"/>
      <c r="G24" s="17"/>
    </row>
    <row r="25" spans="1:7" ht="21" customHeight="1">
      <c r="A25" s="16"/>
      <c r="B25" s="13"/>
      <c r="C25" s="13"/>
      <c r="D25" s="15"/>
      <c r="E25" s="15"/>
      <c r="F25" s="14"/>
      <c r="G25" s="19"/>
    </row>
    <row r="26" spans="1:7" ht="21" customHeight="1">
      <c r="A26" s="16"/>
      <c r="B26" s="13"/>
      <c r="C26" s="13"/>
      <c r="D26" s="15"/>
      <c r="E26" s="15"/>
      <c r="F26" s="14"/>
      <c r="G26" s="17"/>
    </row>
    <row r="27" spans="1:7" ht="21" customHeight="1">
      <c r="A27" s="16"/>
      <c r="B27" s="13"/>
      <c r="C27" s="13"/>
      <c r="D27" s="15"/>
      <c r="E27" s="15"/>
      <c r="F27" s="14"/>
      <c r="G27" s="18"/>
    </row>
    <row r="28" spans="1:7" ht="21" customHeight="1">
      <c r="A28" s="16"/>
      <c r="B28" s="13"/>
      <c r="C28" s="13"/>
      <c r="D28" s="15"/>
      <c r="E28" s="15"/>
      <c r="F28" s="14"/>
      <c r="G28" s="17"/>
    </row>
    <row r="29" spans="1:7" ht="21" customHeight="1">
      <c r="A29" s="16"/>
      <c r="B29" s="13"/>
      <c r="C29" s="13"/>
      <c r="D29" s="15"/>
      <c r="E29" s="15"/>
      <c r="F29" s="14"/>
      <c r="G29" s="17"/>
    </row>
    <row r="30" spans="1:7" ht="21" customHeight="1">
      <c r="A30" s="16"/>
      <c r="B30" s="13"/>
      <c r="C30" s="13"/>
      <c r="D30" s="15"/>
      <c r="E30" s="15"/>
      <c r="F30" s="14"/>
      <c r="G30" s="17"/>
    </row>
    <row r="31" spans="1:7" ht="21" customHeight="1">
      <c r="A31" s="16"/>
      <c r="B31" s="13"/>
      <c r="C31" s="13"/>
      <c r="D31" s="15"/>
      <c r="E31" s="15"/>
      <c r="F31" s="14"/>
      <c r="G31" s="17"/>
    </row>
    <row r="32" spans="1:7" ht="21" customHeight="1">
      <c r="A32" s="16"/>
      <c r="B32" s="13"/>
      <c r="C32" s="13"/>
      <c r="D32" s="15"/>
      <c r="E32" s="15"/>
      <c r="F32" s="14"/>
      <c r="G32" s="13"/>
    </row>
    <row r="33" spans="1:7" ht="21" customHeight="1" thickBot="1">
      <c r="A33" s="12"/>
      <c r="B33" s="11"/>
      <c r="C33" s="11"/>
      <c r="D33" s="10"/>
      <c r="E33" s="10"/>
      <c r="F33" s="10"/>
      <c r="G33" s="9"/>
    </row>
    <row r="34" spans="1:7" ht="22.5" customHeight="1" thickTop="1">
      <c r="A34" s="43" t="s">
        <v>2</v>
      </c>
      <c r="B34" s="43"/>
      <c r="C34" s="44"/>
      <c r="D34" s="45"/>
      <c r="E34" s="46" t="s">
        <v>1</v>
      </c>
      <c r="F34" s="47">
        <f>SUM(F13:F33)</f>
        <v>210500</v>
      </c>
      <c r="G34" s="48" t="s">
        <v>0</v>
      </c>
    </row>
  </sheetData>
  <sheetProtection selectLockedCells="1" selectUnlockedCells="1"/>
  <mergeCells count="12">
    <mergeCell ref="A7:B7"/>
    <mergeCell ref="E7:G7"/>
    <mergeCell ref="A2:G2"/>
    <mergeCell ref="A5:B5"/>
    <mergeCell ref="D5:G5"/>
    <mergeCell ref="A6:B6"/>
    <mergeCell ref="E6:G6"/>
    <mergeCell ref="B8:C8"/>
    <mergeCell ref="E8:G8"/>
    <mergeCell ref="A9:C9"/>
    <mergeCell ref="E9:G9"/>
    <mergeCell ref="E10:G10"/>
  </mergeCells>
  <phoneticPr fontId="2" type="noConversion"/>
  <pageMargins left="0.43307086614173229" right="0.43307086614173229" top="0.74803149606299213" bottom="0.5511811023622047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A7CD-743F-44A1-81E8-3D66408F82BD}">
  <dimension ref="A1:G34"/>
  <sheetViews>
    <sheetView workbookViewId="0">
      <selection activeCell="A13" sqref="A13:F13"/>
    </sheetView>
  </sheetViews>
  <sheetFormatPr baseColWidth="10" defaultColWidth="8.83203125" defaultRowHeight="15"/>
  <cols>
    <col min="1" max="1" width="25.83203125" style="1" customWidth="1"/>
    <col min="2" max="2" width="8.33203125" style="1" customWidth="1"/>
    <col min="3" max="3" width="8.6640625" style="1" customWidth="1"/>
    <col min="4" max="4" width="11.5" style="2" customWidth="1"/>
    <col min="5" max="6" width="10.33203125" style="2" customWidth="1"/>
    <col min="7" max="7" width="10.33203125" style="1" customWidth="1"/>
  </cols>
  <sheetData>
    <row r="1" spans="1:7" ht="28.5" customHeight="1"/>
    <row r="2" spans="1:7" ht="28">
      <c r="A2" s="59" t="s">
        <v>23</v>
      </c>
      <c r="B2" s="60"/>
      <c r="C2" s="60"/>
      <c r="D2" s="60"/>
      <c r="E2" s="60"/>
      <c r="F2" s="60"/>
      <c r="G2" s="60"/>
    </row>
    <row r="3" spans="1:7">
      <c r="A3" s="31"/>
      <c r="B3" s="31"/>
      <c r="C3" s="31"/>
      <c r="D3" s="33"/>
      <c r="E3" s="32"/>
      <c r="F3" s="32"/>
      <c r="G3" s="31"/>
    </row>
    <row r="4" spans="1:7">
      <c r="A4" s="40"/>
      <c r="B4" s="40"/>
      <c r="C4" s="40"/>
      <c r="D4" s="42"/>
      <c r="E4" s="41"/>
      <c r="F4" s="41"/>
      <c r="G4" s="40"/>
    </row>
    <row r="5" spans="1:7" ht="22.5" customHeight="1">
      <c r="A5" s="66" t="s">
        <v>37</v>
      </c>
      <c r="B5" s="66"/>
      <c r="C5" s="39"/>
      <c r="D5" s="61" t="s">
        <v>22</v>
      </c>
      <c r="E5" s="62"/>
      <c r="F5" s="62"/>
      <c r="G5" s="63"/>
    </row>
    <row r="6" spans="1:7" ht="22.5" customHeight="1">
      <c r="A6" s="71"/>
      <c r="B6" s="71"/>
      <c r="C6" s="39"/>
      <c r="D6" s="34" t="s">
        <v>21</v>
      </c>
      <c r="E6" s="64" t="s">
        <v>24</v>
      </c>
      <c r="F6" s="64"/>
      <c r="G6" s="65"/>
    </row>
    <row r="7" spans="1:7" ht="22.5" customHeight="1">
      <c r="A7" s="66" t="s">
        <v>39</v>
      </c>
      <c r="B7" s="66"/>
      <c r="C7" s="38" t="s">
        <v>19</v>
      </c>
      <c r="D7" s="36" t="s">
        <v>18</v>
      </c>
      <c r="E7" s="57" t="s">
        <v>17</v>
      </c>
      <c r="F7" s="57"/>
      <c r="G7" s="58"/>
    </row>
    <row r="8" spans="1:7" ht="22.5" customHeight="1">
      <c r="A8" s="37" t="s">
        <v>16</v>
      </c>
      <c r="B8" s="69">
        <f>SUM(F34)</f>
        <v>36000</v>
      </c>
      <c r="C8" s="69"/>
      <c r="D8" s="36" t="s">
        <v>15</v>
      </c>
      <c r="E8" s="62" t="s">
        <v>25</v>
      </c>
      <c r="F8" s="62"/>
      <c r="G8" s="63"/>
    </row>
    <row r="9" spans="1:7" ht="22.5" customHeight="1">
      <c r="A9" s="70" t="e">
        <f>"일금" &amp; NUMBERSTRING(B8,1)&amp; "원정"</f>
        <v>#N/A</v>
      </c>
      <c r="B9" s="70"/>
      <c r="C9" s="70"/>
      <c r="D9" s="36" t="s">
        <v>13</v>
      </c>
      <c r="E9" s="62" t="s">
        <v>12</v>
      </c>
      <c r="F9" s="62"/>
      <c r="G9" s="63"/>
    </row>
    <row r="10" spans="1:7" ht="22.5" customHeight="1">
      <c r="A10" s="35" t="s">
        <v>11</v>
      </c>
      <c r="B10" s="31"/>
      <c r="C10" s="31"/>
      <c r="D10" s="34" t="s">
        <v>10</v>
      </c>
      <c r="E10" s="62" t="s">
        <v>26</v>
      </c>
      <c r="F10" s="62"/>
      <c r="G10" s="63"/>
    </row>
    <row r="11" spans="1:7">
      <c r="A11" s="31"/>
      <c r="B11" s="31"/>
      <c r="C11" s="31"/>
      <c r="D11" s="33"/>
      <c r="E11" s="32"/>
      <c r="F11" s="32"/>
      <c r="G11" s="31"/>
    </row>
    <row r="12" spans="1:7" ht="22.5" customHeight="1" thickBot="1">
      <c r="A12" s="28" t="s">
        <v>9</v>
      </c>
      <c r="B12" s="28" t="s">
        <v>8</v>
      </c>
      <c r="C12" s="28" t="s">
        <v>7</v>
      </c>
      <c r="D12" s="30" t="s">
        <v>6</v>
      </c>
      <c r="E12" s="29" t="s">
        <v>5</v>
      </c>
      <c r="F12" s="29" t="s">
        <v>4</v>
      </c>
      <c r="G12" s="28" t="s">
        <v>3</v>
      </c>
    </row>
    <row r="13" spans="1:7" ht="21" customHeight="1">
      <c r="A13" s="16" t="s">
        <v>38</v>
      </c>
      <c r="B13" s="25"/>
      <c r="C13" s="16"/>
      <c r="D13" s="27">
        <v>2</v>
      </c>
      <c r="E13" s="27">
        <v>18000</v>
      </c>
      <c r="F13" s="14">
        <f>D13*E13</f>
        <v>36000</v>
      </c>
      <c r="G13" s="26"/>
    </row>
    <row r="14" spans="1:7" ht="21" customHeight="1">
      <c r="A14" s="24"/>
      <c r="B14" s="25"/>
      <c r="C14" s="24"/>
      <c r="D14" s="21"/>
      <c r="E14" s="22"/>
      <c r="F14" s="14"/>
      <c r="G14" s="19"/>
    </row>
    <row r="15" spans="1:7" ht="21" customHeight="1">
      <c r="A15" s="16"/>
      <c r="B15" s="25"/>
      <c r="C15" s="24"/>
      <c r="D15" s="21"/>
      <c r="E15" s="15"/>
      <c r="F15" s="14"/>
      <c r="G15" s="23"/>
    </row>
    <row r="16" spans="1:7" ht="21" customHeight="1">
      <c r="A16" s="16"/>
      <c r="B16" s="13"/>
      <c r="C16" s="13"/>
      <c r="D16" s="15"/>
      <c r="E16" s="22"/>
      <c r="F16" s="14"/>
      <c r="G16" s="13"/>
    </row>
    <row r="17" spans="1:7" ht="21" customHeight="1">
      <c r="A17" s="16"/>
      <c r="B17" s="13"/>
      <c r="C17" s="13"/>
      <c r="D17" s="15"/>
      <c r="E17" s="15"/>
      <c r="F17" s="14"/>
      <c r="G17" s="19"/>
    </row>
    <row r="18" spans="1:7" ht="21" customHeight="1">
      <c r="A18" s="16"/>
      <c r="B18" s="13"/>
      <c r="C18" s="13"/>
      <c r="D18" s="15"/>
      <c r="E18" s="15"/>
      <c r="F18" s="14"/>
      <c r="G18" s="13"/>
    </row>
    <row r="19" spans="1:7" ht="21" customHeight="1">
      <c r="A19" s="16"/>
      <c r="B19" s="13"/>
      <c r="C19" s="13"/>
      <c r="D19" s="15"/>
      <c r="E19" s="15"/>
      <c r="F19" s="14"/>
      <c r="G19" s="17"/>
    </row>
    <row r="20" spans="1:7" ht="21" customHeight="1">
      <c r="A20" s="16"/>
      <c r="B20" s="13"/>
      <c r="C20" s="13"/>
      <c r="D20" s="15"/>
      <c r="E20" s="15"/>
      <c r="F20" s="14"/>
      <c r="G20" s="17"/>
    </row>
    <row r="21" spans="1:7" ht="21" customHeight="1">
      <c r="A21" s="16"/>
      <c r="B21" s="13"/>
      <c r="C21" s="13"/>
      <c r="D21" s="21"/>
      <c r="E21" s="20"/>
      <c r="F21" s="14"/>
      <c r="G21" s="17"/>
    </row>
    <row r="22" spans="1:7" ht="21" customHeight="1">
      <c r="A22" s="16"/>
      <c r="B22" s="13"/>
      <c r="C22" s="13"/>
      <c r="D22" s="15"/>
      <c r="E22" s="15"/>
      <c r="F22" s="14"/>
      <c r="G22" s="17"/>
    </row>
    <row r="23" spans="1:7" ht="21" customHeight="1">
      <c r="A23" s="16"/>
      <c r="B23" s="13"/>
      <c r="C23" s="13"/>
      <c r="D23" s="20"/>
      <c r="E23" s="20"/>
      <c r="F23" s="14"/>
      <c r="G23" s="17"/>
    </row>
    <row r="24" spans="1:7" ht="21" customHeight="1">
      <c r="A24" s="16"/>
      <c r="B24" s="13"/>
      <c r="C24" s="13"/>
      <c r="D24" s="15"/>
      <c r="E24" s="15"/>
      <c r="F24" s="14"/>
      <c r="G24" s="17"/>
    </row>
    <row r="25" spans="1:7" ht="21" customHeight="1">
      <c r="A25" s="16"/>
      <c r="B25" s="13"/>
      <c r="C25" s="13"/>
      <c r="D25" s="15"/>
      <c r="E25" s="15"/>
      <c r="F25" s="14"/>
      <c r="G25" s="19"/>
    </row>
    <row r="26" spans="1:7" ht="21" customHeight="1">
      <c r="A26" s="16"/>
      <c r="B26" s="13"/>
      <c r="C26" s="13"/>
      <c r="D26" s="15"/>
      <c r="E26" s="15"/>
      <c r="F26" s="14"/>
      <c r="G26" s="17"/>
    </row>
    <row r="27" spans="1:7" ht="21" customHeight="1">
      <c r="A27" s="16"/>
      <c r="B27" s="13"/>
      <c r="C27" s="13"/>
      <c r="D27" s="15"/>
      <c r="E27" s="15"/>
      <c r="F27" s="14"/>
      <c r="G27" s="18"/>
    </row>
    <row r="28" spans="1:7" ht="21" customHeight="1">
      <c r="A28" s="16"/>
      <c r="B28" s="13"/>
      <c r="C28" s="13"/>
      <c r="D28" s="15"/>
      <c r="E28" s="15"/>
      <c r="F28" s="14"/>
      <c r="G28" s="17"/>
    </row>
    <row r="29" spans="1:7" ht="21" customHeight="1">
      <c r="A29" s="16"/>
      <c r="B29" s="13"/>
      <c r="C29" s="13"/>
      <c r="D29" s="15"/>
      <c r="E29" s="15"/>
      <c r="F29" s="14"/>
      <c r="G29" s="17"/>
    </row>
    <row r="30" spans="1:7" ht="21" customHeight="1">
      <c r="A30" s="16"/>
      <c r="B30" s="13"/>
      <c r="C30" s="13"/>
      <c r="D30" s="15"/>
      <c r="E30" s="15"/>
      <c r="F30" s="14"/>
      <c r="G30" s="17"/>
    </row>
    <row r="31" spans="1:7" ht="21" customHeight="1">
      <c r="A31" s="16"/>
      <c r="B31" s="13"/>
      <c r="C31" s="13"/>
      <c r="D31" s="15"/>
      <c r="E31" s="15"/>
      <c r="F31" s="14"/>
      <c r="G31" s="17"/>
    </row>
    <row r="32" spans="1:7" ht="21" customHeight="1">
      <c r="A32" s="16"/>
      <c r="B32" s="13"/>
      <c r="C32" s="13"/>
      <c r="D32" s="15"/>
      <c r="E32" s="15"/>
      <c r="F32" s="14"/>
      <c r="G32" s="13"/>
    </row>
    <row r="33" spans="1:7" ht="21" customHeight="1" thickBot="1">
      <c r="A33" s="12"/>
      <c r="B33" s="11"/>
      <c r="C33" s="11"/>
      <c r="D33" s="10"/>
      <c r="E33" s="10"/>
      <c r="F33" s="10"/>
      <c r="G33" s="9"/>
    </row>
    <row r="34" spans="1:7" ht="22.5" customHeight="1" thickTop="1">
      <c r="A34" s="8" t="s">
        <v>2</v>
      </c>
      <c r="B34" s="8"/>
      <c r="C34" s="7"/>
      <c r="D34" s="6"/>
      <c r="E34" s="5" t="s">
        <v>1</v>
      </c>
      <c r="F34" s="4">
        <f>SUM(F13:F33)</f>
        <v>36000</v>
      </c>
      <c r="G34" s="3" t="s">
        <v>0</v>
      </c>
    </row>
  </sheetData>
  <sheetProtection selectLockedCells="1" selectUnlockedCells="1"/>
  <mergeCells count="12">
    <mergeCell ref="B8:C8"/>
    <mergeCell ref="E8:G8"/>
    <mergeCell ref="A9:C9"/>
    <mergeCell ref="E9:G9"/>
    <mergeCell ref="E10:G10"/>
    <mergeCell ref="A7:B7"/>
    <mergeCell ref="E7:G7"/>
    <mergeCell ref="A2:G2"/>
    <mergeCell ref="A5:B5"/>
    <mergeCell ref="D5:G5"/>
    <mergeCell ref="A6:B6"/>
    <mergeCell ref="E6:G6"/>
  </mergeCells>
  <phoneticPr fontId="2" type="noConversion"/>
  <pageMargins left="0.43307086614173229" right="0.43307086614173229" top="0.74803149606299213" bottom="0.55118110236220474" header="0.31496062992125984" footer="0.31496062992125984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2359-0BFE-49B2-B51E-0CECD5345AB3}">
  <dimension ref="A1:G34"/>
  <sheetViews>
    <sheetView workbookViewId="0">
      <selection activeCell="B12" sqref="B12"/>
    </sheetView>
  </sheetViews>
  <sheetFormatPr baseColWidth="10" defaultColWidth="8.83203125" defaultRowHeight="15"/>
  <cols>
    <col min="1" max="1" width="25.83203125" style="1" customWidth="1"/>
    <col min="2" max="2" width="8.33203125" style="1" customWidth="1"/>
    <col min="3" max="3" width="8.6640625" style="1" customWidth="1"/>
    <col min="4" max="4" width="11.5" style="2" customWidth="1"/>
    <col min="5" max="6" width="10.33203125" style="2" customWidth="1"/>
    <col min="7" max="7" width="10.33203125" style="1" customWidth="1"/>
  </cols>
  <sheetData>
    <row r="1" spans="1:7" ht="28.5" customHeight="1"/>
    <row r="2" spans="1:7" ht="28">
      <c r="A2" s="59" t="s">
        <v>23</v>
      </c>
      <c r="B2" s="60"/>
      <c r="C2" s="60"/>
      <c r="D2" s="60"/>
      <c r="E2" s="60"/>
      <c r="F2" s="60"/>
      <c r="G2" s="60"/>
    </row>
    <row r="3" spans="1:7">
      <c r="A3" s="31"/>
      <c r="B3" s="31"/>
      <c r="C3" s="31"/>
      <c r="D3" s="33"/>
      <c r="E3" s="32"/>
      <c r="F3" s="32"/>
      <c r="G3" s="31"/>
    </row>
    <row r="4" spans="1:7">
      <c r="A4" s="40"/>
      <c r="B4" s="40"/>
      <c r="C4" s="40"/>
      <c r="D4" s="42"/>
      <c r="E4" s="41"/>
      <c r="F4" s="41"/>
      <c r="G4" s="40"/>
    </row>
    <row r="5" spans="1:7" ht="22.5" customHeight="1">
      <c r="A5" s="66" t="s">
        <v>48</v>
      </c>
      <c r="B5" s="66"/>
      <c r="C5" s="39"/>
      <c r="D5" s="61" t="s">
        <v>22</v>
      </c>
      <c r="E5" s="62"/>
      <c r="F5" s="62"/>
      <c r="G5" s="63"/>
    </row>
    <row r="6" spans="1:7" ht="22.5" customHeight="1">
      <c r="A6" s="71"/>
      <c r="B6" s="71"/>
      <c r="C6" s="39"/>
      <c r="D6" s="34" t="s">
        <v>21</v>
      </c>
      <c r="E6" s="64" t="s">
        <v>24</v>
      </c>
      <c r="F6" s="64"/>
      <c r="G6" s="65"/>
    </row>
    <row r="7" spans="1:7" ht="22.5" customHeight="1">
      <c r="A7" s="66" t="s">
        <v>49</v>
      </c>
      <c r="B7" s="66"/>
      <c r="C7" s="38" t="s">
        <v>19</v>
      </c>
      <c r="D7" s="36" t="s">
        <v>18</v>
      </c>
      <c r="E7" s="57" t="s">
        <v>17</v>
      </c>
      <c r="F7" s="57"/>
      <c r="G7" s="58"/>
    </row>
    <row r="8" spans="1:7" ht="22.5" customHeight="1">
      <c r="A8" s="37" t="s">
        <v>16</v>
      </c>
      <c r="B8" s="69">
        <f>SUM(F34)</f>
        <v>46000</v>
      </c>
      <c r="C8" s="69"/>
      <c r="D8" s="36" t="s">
        <v>15</v>
      </c>
      <c r="E8" s="62" t="s">
        <v>25</v>
      </c>
      <c r="F8" s="62"/>
      <c r="G8" s="63"/>
    </row>
    <row r="9" spans="1:7" ht="22.5" customHeight="1">
      <c r="A9" s="70" t="e">
        <f>"일금" &amp; NUMBERSTRING(B8,1)&amp; "원정"</f>
        <v>#N/A</v>
      </c>
      <c r="B9" s="70"/>
      <c r="C9" s="70"/>
      <c r="D9" s="36" t="s">
        <v>13</v>
      </c>
      <c r="E9" s="62" t="s">
        <v>12</v>
      </c>
      <c r="F9" s="62"/>
      <c r="G9" s="63"/>
    </row>
    <row r="10" spans="1:7" ht="22.5" customHeight="1">
      <c r="A10" s="35" t="s">
        <v>11</v>
      </c>
      <c r="B10" s="31"/>
      <c r="C10" s="31"/>
      <c r="D10" s="34" t="s">
        <v>10</v>
      </c>
      <c r="E10" s="62" t="s">
        <v>26</v>
      </c>
      <c r="F10" s="62"/>
      <c r="G10" s="63"/>
    </row>
    <row r="11" spans="1:7">
      <c r="A11" s="31"/>
      <c r="B11" s="31"/>
      <c r="C11" s="31"/>
      <c r="D11" s="33"/>
      <c r="E11" s="32"/>
      <c r="F11" s="32"/>
      <c r="G11" s="31"/>
    </row>
    <row r="12" spans="1:7" ht="22.5" customHeight="1" thickBot="1">
      <c r="A12" s="28" t="s">
        <v>9</v>
      </c>
      <c r="B12" s="28" t="s">
        <v>8</v>
      </c>
      <c r="C12" s="28" t="s">
        <v>7</v>
      </c>
      <c r="D12" s="30" t="s">
        <v>6</v>
      </c>
      <c r="E12" s="29" t="s">
        <v>5</v>
      </c>
      <c r="F12" s="29" t="s">
        <v>4</v>
      </c>
      <c r="G12" s="28" t="s">
        <v>3</v>
      </c>
    </row>
    <row r="13" spans="1:7" ht="21" customHeight="1">
      <c r="A13" s="16" t="s">
        <v>50</v>
      </c>
      <c r="B13" s="25"/>
      <c r="C13" s="16"/>
      <c r="D13" s="27">
        <v>1</v>
      </c>
      <c r="E13" s="27">
        <v>34000</v>
      </c>
      <c r="F13" s="14">
        <f>D13*E13</f>
        <v>34000</v>
      </c>
      <c r="G13" s="26"/>
    </row>
    <row r="14" spans="1:7" ht="21" customHeight="1">
      <c r="A14" s="24" t="s">
        <v>51</v>
      </c>
      <c r="B14" s="25"/>
      <c r="C14" s="24"/>
      <c r="D14" s="21">
        <v>5</v>
      </c>
      <c r="E14" s="22">
        <v>1600</v>
      </c>
      <c r="F14" s="14">
        <f t="shared" ref="F14:F15" si="0">D14*E14</f>
        <v>8000</v>
      </c>
      <c r="G14" s="19"/>
    </row>
    <row r="15" spans="1:7" ht="21" customHeight="1">
      <c r="A15" s="16" t="s">
        <v>52</v>
      </c>
      <c r="B15" s="25"/>
      <c r="C15" s="24"/>
      <c r="D15" s="21">
        <v>10</v>
      </c>
      <c r="E15" s="15">
        <v>400</v>
      </c>
      <c r="F15" s="14">
        <f t="shared" si="0"/>
        <v>4000</v>
      </c>
      <c r="G15" s="23"/>
    </row>
    <row r="16" spans="1:7" ht="21" customHeight="1">
      <c r="A16" s="16"/>
      <c r="B16" s="25"/>
      <c r="C16" s="24"/>
      <c r="D16" s="21"/>
      <c r="E16" s="22"/>
      <c r="F16" s="14"/>
      <c r="G16" s="23"/>
    </row>
    <row r="17" spans="1:7" ht="21" customHeight="1">
      <c r="A17" s="16"/>
      <c r="B17" s="13"/>
      <c r="C17" s="13"/>
      <c r="D17" s="15"/>
      <c r="E17" s="22"/>
      <c r="F17" s="14"/>
      <c r="G17" s="13"/>
    </row>
    <row r="18" spans="1:7" ht="21" customHeight="1">
      <c r="A18" s="16"/>
      <c r="B18" s="13"/>
      <c r="C18" s="13"/>
      <c r="D18" s="15"/>
      <c r="E18" s="15"/>
      <c r="F18" s="14"/>
      <c r="G18" s="13"/>
    </row>
    <row r="19" spans="1:7" ht="21" customHeight="1">
      <c r="A19" s="16"/>
      <c r="B19" s="13"/>
      <c r="C19" s="13"/>
      <c r="D19" s="15"/>
      <c r="E19" s="15"/>
      <c r="F19" s="14"/>
      <c r="G19" s="17"/>
    </row>
    <row r="20" spans="1:7" ht="21" customHeight="1">
      <c r="A20" s="16"/>
      <c r="B20" s="13"/>
      <c r="C20" s="13"/>
      <c r="D20" s="15"/>
      <c r="E20" s="15"/>
      <c r="F20" s="14"/>
      <c r="G20" s="17"/>
    </row>
    <row r="21" spans="1:7" ht="21" customHeight="1">
      <c r="A21" s="16"/>
      <c r="B21" s="13"/>
      <c r="C21" s="13"/>
      <c r="D21" s="21"/>
      <c r="E21" s="20"/>
      <c r="F21" s="14"/>
      <c r="G21" s="17"/>
    </row>
    <row r="22" spans="1:7" ht="21" customHeight="1">
      <c r="A22" s="16"/>
      <c r="B22" s="13"/>
      <c r="C22" s="13"/>
      <c r="D22" s="15"/>
      <c r="E22" s="15"/>
      <c r="F22" s="14"/>
      <c r="G22" s="17"/>
    </row>
    <row r="23" spans="1:7" ht="21" customHeight="1">
      <c r="A23" s="16"/>
      <c r="B23" s="13"/>
      <c r="C23" s="13"/>
      <c r="D23" s="20"/>
      <c r="E23" s="20"/>
      <c r="F23" s="14"/>
      <c r="G23" s="17"/>
    </row>
    <row r="24" spans="1:7" ht="21" customHeight="1">
      <c r="A24" s="16"/>
      <c r="B24" s="13"/>
      <c r="C24" s="13"/>
      <c r="D24" s="15"/>
      <c r="E24" s="15"/>
      <c r="F24" s="14"/>
      <c r="G24" s="17"/>
    </row>
    <row r="25" spans="1:7" ht="21" customHeight="1">
      <c r="A25" s="16"/>
      <c r="B25" s="13"/>
      <c r="C25" s="13"/>
      <c r="D25" s="15"/>
      <c r="E25" s="15"/>
      <c r="F25" s="14"/>
      <c r="G25" s="19"/>
    </row>
    <row r="26" spans="1:7" ht="21" customHeight="1">
      <c r="A26" s="16"/>
      <c r="B26" s="13"/>
      <c r="C26" s="13"/>
      <c r="D26" s="15"/>
      <c r="E26" s="15"/>
      <c r="F26" s="14"/>
      <c r="G26" s="17"/>
    </row>
    <row r="27" spans="1:7" ht="21" customHeight="1">
      <c r="A27" s="16"/>
      <c r="B27" s="13"/>
      <c r="C27" s="13"/>
      <c r="D27" s="15"/>
      <c r="E27" s="15"/>
      <c r="F27" s="14"/>
      <c r="G27" s="18"/>
    </row>
    <row r="28" spans="1:7" ht="21" customHeight="1">
      <c r="A28" s="16"/>
      <c r="B28" s="13"/>
      <c r="C28" s="13"/>
      <c r="D28" s="15"/>
      <c r="E28" s="15"/>
      <c r="F28" s="14"/>
      <c r="G28" s="17"/>
    </row>
    <row r="29" spans="1:7" ht="21" customHeight="1">
      <c r="A29" s="16"/>
      <c r="B29" s="13"/>
      <c r="C29" s="13"/>
      <c r="D29" s="15"/>
      <c r="E29" s="15"/>
      <c r="F29" s="14"/>
      <c r="G29" s="17"/>
    </row>
    <row r="30" spans="1:7" ht="21" customHeight="1">
      <c r="A30" s="16"/>
      <c r="B30" s="13"/>
      <c r="C30" s="13"/>
      <c r="D30" s="15"/>
      <c r="E30" s="15"/>
      <c r="F30" s="14"/>
      <c r="G30" s="17"/>
    </row>
    <row r="31" spans="1:7" ht="21" customHeight="1">
      <c r="A31" s="16"/>
      <c r="B31" s="13"/>
      <c r="C31" s="13"/>
      <c r="D31" s="15"/>
      <c r="E31" s="15"/>
      <c r="F31" s="14"/>
      <c r="G31" s="17"/>
    </row>
    <row r="32" spans="1:7" ht="21" customHeight="1">
      <c r="A32" s="16"/>
      <c r="B32" s="13"/>
      <c r="C32" s="13"/>
      <c r="D32" s="15"/>
      <c r="E32" s="15"/>
      <c r="F32" s="14"/>
      <c r="G32" s="13"/>
    </row>
    <row r="33" spans="1:7" ht="21" customHeight="1" thickBot="1">
      <c r="A33" s="12"/>
      <c r="B33" s="11"/>
      <c r="C33" s="11"/>
      <c r="D33" s="10"/>
      <c r="E33" s="10"/>
      <c r="F33" s="10"/>
      <c r="G33" s="9"/>
    </row>
    <row r="34" spans="1:7" ht="22.5" customHeight="1" thickTop="1">
      <c r="A34" s="8" t="s">
        <v>2</v>
      </c>
      <c r="B34" s="8"/>
      <c r="C34" s="7"/>
      <c r="D34" s="6"/>
      <c r="E34" s="5" t="s">
        <v>1</v>
      </c>
      <c r="F34" s="4">
        <f>SUM(F13:F33)</f>
        <v>46000</v>
      </c>
      <c r="G34" s="3" t="s">
        <v>0</v>
      </c>
    </row>
  </sheetData>
  <sheetProtection selectLockedCells="1" selectUnlockedCells="1"/>
  <mergeCells count="12">
    <mergeCell ref="E10:G10"/>
    <mergeCell ref="A2:G2"/>
    <mergeCell ref="A5:B5"/>
    <mergeCell ref="D5:G5"/>
    <mergeCell ref="A6:B6"/>
    <mergeCell ref="E6:G6"/>
    <mergeCell ref="A7:B7"/>
    <mergeCell ref="E7:G7"/>
    <mergeCell ref="B8:C8"/>
    <mergeCell ref="E8:G8"/>
    <mergeCell ref="A9:C9"/>
    <mergeCell ref="E9:G9"/>
  </mergeCells>
  <phoneticPr fontId="2" type="noConversion"/>
  <pageMargins left="0.43307086614173229" right="0.43307086614173229" top="0.74803149606299213" bottom="0.55118110236220474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관악(1)</vt:lpstr>
      <vt:lpstr>관악(5)</vt:lpstr>
      <vt:lpstr>관악(6)</vt:lpstr>
      <vt:lpstr>관악(7)</vt:lpstr>
      <vt:lpstr>관악(2)</vt:lpstr>
      <vt:lpstr>관악(3)</vt:lpstr>
      <vt:lpstr>관악(4)</vt:lpstr>
      <vt:lpstr>의대점(2)</vt:lpstr>
      <vt:lpstr>의대점(1)</vt:lpstr>
      <vt:lpstr>'관악(1)'!Print_Area</vt:lpstr>
      <vt:lpstr>'관악(2)'!Print_Area</vt:lpstr>
      <vt:lpstr>'관악(3)'!Print_Area</vt:lpstr>
      <vt:lpstr>'관악(4)'!Print_Area</vt:lpstr>
      <vt:lpstr>'관악(5)'!Print_Area</vt:lpstr>
      <vt:lpstr>'관악(6)'!Print_Area</vt:lpstr>
      <vt:lpstr>'관악(7)'!Print_Area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유정순</dc:creator>
  <cp:lastModifiedBy>재원 한</cp:lastModifiedBy>
  <cp:lastPrinted>2023-12-22T06:47:03Z</cp:lastPrinted>
  <dcterms:created xsi:type="dcterms:W3CDTF">2023-11-21T04:06:06Z</dcterms:created>
  <dcterms:modified xsi:type="dcterms:W3CDTF">2024-03-07T06:59:07Z</dcterms:modified>
</cp:coreProperties>
</file>
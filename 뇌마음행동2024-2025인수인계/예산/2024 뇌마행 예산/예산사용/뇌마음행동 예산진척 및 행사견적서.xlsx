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won/Desktop/대학원 자료/강의/조교활동/2024/2학기/예산관련/"/>
    </mc:Choice>
  </mc:AlternateContent>
  <xr:revisionPtr revIDLastSave="0" documentId="13_ncr:1_{D0AF02F5-1453-2845-8160-C72F97B889EF}" xr6:coauthVersionLast="47" xr6:coauthVersionMax="47" xr10:uidLastSave="{00000000-0000-0000-0000-000000000000}"/>
  <bookViews>
    <workbookView xWindow="-320" yWindow="500" windowWidth="24860" windowHeight="16440" xr2:uid="{BDC318E9-F87D-1444-957D-E9912184C22C}"/>
  </bookViews>
  <sheets>
    <sheet name="예산진척 및 행사견적서" sheetId="8" r:id="rId1"/>
    <sheet name="예산진척" sheetId="7" state="hidden" r:id="rId2"/>
    <sheet name="참여인원" sheetId="6" state="hidden" r:id="rId3"/>
    <sheet name="예산(예상)" sheetId="5" state="hidden" r:id="rId4"/>
    <sheet name="식사 및 공간 정보" sheetId="3" state="hidden" r:id="rId5"/>
    <sheet name="인문대학 대여공간" sheetId="4" state="hidden" r:id="rId6"/>
  </sheets>
  <definedNames>
    <definedName name="_xlnm._FilterDatabase" localSheetId="5" hidden="1">'인문대학 대여공간'!$A$3:$I$81</definedName>
    <definedName name="_xlnm._FilterDatabase" localSheetId="2" hidden="1">참여인원!$C$4:$H$4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8" l="1"/>
  <c r="J8" i="8"/>
  <c r="J9" i="8"/>
  <c r="J11" i="8"/>
  <c r="J12" i="8"/>
  <c r="J13" i="8"/>
  <c r="J6" i="8"/>
  <c r="G31" i="8"/>
  <c r="I10" i="8"/>
  <c r="J10" i="8" s="1"/>
  <c r="I13" i="8"/>
  <c r="I11" i="8"/>
  <c r="G29" i="8"/>
  <c r="G27" i="8"/>
  <c r="G32" i="8"/>
  <c r="G30" i="8"/>
  <c r="I14" i="8" s="1"/>
  <c r="J14" i="8" s="1"/>
  <c r="G28" i="8"/>
  <c r="G26" i="8"/>
  <c r="G25" i="8"/>
  <c r="G24" i="8"/>
  <c r="G23" i="8"/>
  <c r="G22" i="8"/>
  <c r="G33" i="8" s="1"/>
  <c r="G15" i="8"/>
  <c r="G27" i="7"/>
  <c r="G23" i="7"/>
  <c r="G24" i="7"/>
  <c r="G25" i="7"/>
  <c r="G26" i="7"/>
  <c r="G28" i="7"/>
  <c r="G29" i="7"/>
  <c r="G30" i="7"/>
  <c r="G22" i="7"/>
  <c r="J13" i="7"/>
  <c r="J12" i="7"/>
  <c r="J11" i="7"/>
  <c r="J10" i="7"/>
  <c r="J9" i="7"/>
  <c r="J8" i="7"/>
  <c r="J7" i="7"/>
  <c r="J6" i="7"/>
  <c r="J14" i="7"/>
  <c r="G15" i="7"/>
  <c r="H15" i="7"/>
  <c r="I15" i="7"/>
  <c r="J18" i="5"/>
  <c r="J19" i="5"/>
  <c r="J20" i="5" s="1"/>
  <c r="E17" i="5"/>
  <c r="J17" i="5"/>
  <c r="P17" i="5"/>
  <c r="C12" i="5"/>
  <c r="D12" i="5"/>
  <c r="C22" i="5" s="1"/>
  <c r="H30" i="6"/>
  <c r="G30" i="6"/>
  <c r="H15" i="8" l="1"/>
  <c r="I15" i="8"/>
  <c r="I33" i="8"/>
  <c r="J15" i="8"/>
  <c r="J15" i="7"/>
  <c r="G31" i="7"/>
  <c r="I31" i="7" s="1"/>
  <c r="D22" i="5"/>
</calcChain>
</file>

<file path=xl/sharedStrings.xml><?xml version="1.0" encoding="utf-8"?>
<sst xmlns="http://schemas.openxmlformats.org/spreadsheetml/2006/main" count="1070" uniqueCount="323">
  <si>
    <t>호암교수회관</t>
  </si>
  <si>
    <t>락구정</t>
  </si>
  <si>
    <t>가격</t>
  </si>
  <si>
    <t>비고</t>
  </si>
  <si>
    <t>레스토랑 메뉴</t>
  </si>
  <si>
    <t>1688-7745</t>
  </si>
  <si>
    <t xml:space="preserve">케이터링 뷔페 메뉴 </t>
  </si>
  <si>
    <t>최소 50인부터 가능(50인분 이상 주문만 하면 되는건지 확인 필요)</t>
  </si>
  <si>
    <t>문의전화</t>
  </si>
  <si>
    <t>메뉴 링크</t>
  </si>
  <si>
    <t>최소 보증 인원 18명, 최대 정원 26명, 기본 장소대여료 77,000원(초과 시 시간당 55,000원),식사 매출 개런티 기준 576,000원</t>
  </si>
  <si>
    <t>장소명</t>
  </si>
  <si>
    <t>도시락 및 뷔페 메뉴(케이터링)</t>
  </si>
  <si>
    <t>02-880-6788</t>
  </si>
  <si>
    <t>국제회의실(25-1동)</t>
  </si>
  <si>
    <t>장소 링크</t>
  </si>
  <si>
    <t>국제회의실</t>
  </si>
  <si>
    <t>수용인원</t>
  </si>
  <si>
    <t>104석</t>
  </si>
  <si>
    <t>10~36명(별실 사용 가능)</t>
  </si>
  <si>
    <t>교수회관</t>
  </si>
  <si>
    <t>교수회관 메뉴</t>
  </si>
  <si>
    <t>02-880-5241</t>
  </si>
  <si>
    <t>서울대학교 인문관</t>
  </si>
  <si>
    <t>02-880-2632</t>
  </si>
  <si>
    <t>강의실</t>
  </si>
  <si>
    <t>교육기본시설</t>
  </si>
  <si>
    <t>강의실(공연용)</t>
  </si>
  <si>
    <t>B102</t>
  </si>
  <si>
    <t>관악 14동[인문관7]</t>
  </si>
  <si>
    <t>14</t>
  </si>
  <si>
    <t>11H0140</t>
  </si>
  <si>
    <t>208</t>
  </si>
  <si>
    <t>207</t>
  </si>
  <si>
    <t>103</t>
  </si>
  <si>
    <t>B101</t>
  </si>
  <si>
    <t>104</t>
  </si>
  <si>
    <t>102</t>
  </si>
  <si>
    <t>204</t>
  </si>
  <si>
    <t>203</t>
  </si>
  <si>
    <t>202</t>
  </si>
  <si>
    <t>대학원연구실</t>
  </si>
  <si>
    <t>연구시설</t>
  </si>
  <si>
    <t>국사학과(임시)</t>
  </si>
  <si>
    <t>304</t>
  </si>
  <si>
    <t>119</t>
  </si>
  <si>
    <t>관악 9동[사범관1]</t>
  </si>
  <si>
    <t>9</t>
  </si>
  <si>
    <t>11H0090</t>
  </si>
  <si>
    <t>302</t>
  </si>
  <si>
    <t>관악 8동[두산인문관]</t>
  </si>
  <si>
    <t>8</t>
  </si>
  <si>
    <t>11H0080</t>
  </si>
  <si>
    <t>101</t>
  </si>
  <si>
    <t>301</t>
  </si>
  <si>
    <t>408</t>
  </si>
  <si>
    <t>303</t>
  </si>
  <si>
    <t>세미나실</t>
  </si>
  <si>
    <t>406</t>
  </si>
  <si>
    <t>407</t>
  </si>
  <si>
    <t>국제회의실</t>
    <phoneticPr fontId="0" type="noConversion"/>
  </si>
  <si>
    <t>305</t>
    <phoneticPr fontId="0" type="noConversion"/>
  </si>
  <si>
    <t>관악 7동[인문관6]</t>
  </si>
  <si>
    <t>7</t>
  </si>
  <si>
    <t>11H0070</t>
  </si>
  <si>
    <t>109</t>
  </si>
  <si>
    <t>108</t>
  </si>
  <si>
    <t>110</t>
  </si>
  <si>
    <t>112</t>
  </si>
  <si>
    <t>111</t>
  </si>
  <si>
    <t>113</t>
  </si>
  <si>
    <t>114</t>
  </si>
  <si>
    <t>106</t>
  </si>
  <si>
    <t>201</t>
  </si>
  <si>
    <t>스마트강의실</t>
  </si>
  <si>
    <t>관악 6동[인문관5]</t>
  </si>
  <si>
    <t>6</t>
  </si>
  <si>
    <t>11H0060</t>
  </si>
  <si>
    <t>영상강의실</t>
  </si>
  <si>
    <t>105</t>
  </si>
  <si>
    <t>212</t>
  </si>
  <si>
    <t>관악 5동[인문관4]</t>
  </si>
  <si>
    <t>5</t>
  </si>
  <si>
    <t>11H0050</t>
  </si>
  <si>
    <t>강의실(대학영어)</t>
  </si>
  <si>
    <t>107-1</t>
  </si>
  <si>
    <t>211</t>
  </si>
  <si>
    <t>107-2</t>
  </si>
  <si>
    <t>101-1</t>
  </si>
  <si>
    <t>201-1</t>
  </si>
  <si>
    <t>101-2</t>
  </si>
  <si>
    <t>세미나실3</t>
  </si>
  <si>
    <t>309</t>
  </si>
  <si>
    <t>관악 4동[신양학술정보관2]</t>
  </si>
  <si>
    <t>4</t>
  </si>
  <si>
    <t>11H0040</t>
  </si>
  <si>
    <t>세미나4실</t>
  </si>
  <si>
    <t>세미나실2</t>
  </si>
  <si>
    <t>308</t>
  </si>
  <si>
    <t>관악 3동[인문관3]</t>
  </si>
  <si>
    <t>3</t>
  </si>
  <si>
    <t>11H0030</t>
  </si>
  <si>
    <t>어학강의실(멀티미디어)</t>
  </si>
  <si>
    <t>107</t>
  </si>
  <si>
    <t>멀티미디어강의실</t>
  </si>
  <si>
    <t>전산실(대학영어)</t>
  </si>
  <si>
    <t>115</t>
  </si>
  <si>
    <t>116</t>
  </si>
  <si>
    <t>관악 2동[인문관2]</t>
  </si>
  <si>
    <t>2</t>
  </si>
  <si>
    <t>11H0020</t>
  </si>
  <si>
    <t>104-1</t>
  </si>
  <si>
    <t>210</t>
  </si>
  <si>
    <t>관악 1동[인문관1]</t>
  </si>
  <si>
    <t>1</t>
  </si>
  <si>
    <t>11H0010</t>
  </si>
  <si>
    <t>209</t>
  </si>
  <si>
    <t>시설중분류명</t>
  </si>
  <si>
    <t>시설대분류명</t>
  </si>
  <si>
    <t>호실면적(m2) m²</t>
  </si>
  <si>
    <t>호실명</t>
  </si>
  <si>
    <t>호실코드</t>
  </si>
  <si>
    <t>건물명</t>
  </si>
  <si>
    <t>동번호</t>
  </si>
  <si>
    <t>건물코드</t>
  </si>
  <si>
    <t>리스트</t>
  </si>
  <si>
    <t>인문대 구성원만 예약 가능하며 아닐 경우 담당자 통해 접수 가능 
9시부터 18시까지는 무료이나 시간 외 사용의 경우 부과 가능</t>
  </si>
  <si>
    <t>인문대학</t>
  </si>
  <si>
    <t>02-880-6508</t>
  </si>
  <si>
    <t>모임 성격 알려주면 별실 준비해줌</t>
  </si>
  <si>
    <t>인문대학 대여공간 시트 참고</t>
  </si>
  <si>
    <t>도시락 가격은 2~3만원 선</t>
  </si>
  <si>
    <t>저녁예약은 한 메뉴당 20개부터 주문가능(점심 10개)</t>
  </si>
  <si>
    <t>도시락은 10개 이상부터 배달 가능</t>
  </si>
  <si>
    <t>도시락 가격은 2만원 후반~최대 3만원, 뷔페 및 다과는 확인 필요</t>
  </si>
  <si>
    <t>케이터링 도시락 메뉴</t>
  </si>
  <si>
    <t>단일 메뉴로 10개 이상 주문 가능(20개 주문시 10개씩 2가지 메뉴 가능)</t>
  </si>
  <si>
    <t>만원 후반~2만원 초반</t>
  </si>
  <si>
    <t>가격은 메뉴 구성 및 성격에 따라 가격변동 가능(문의 전화해서 확인 필요)</t>
  </si>
  <si>
    <t>3만원 이하로 한상차림 형태 주문 가능(단체 예약 가능한지 문의 필요)</t>
  </si>
  <si>
    <t>* 케이터링 서비스</t>
  </si>
  <si>
    <r>
      <t xml:space="preserve">* 공간 대여 </t>
    </r>
    <r>
      <rPr>
        <b/>
        <sz val="12"/>
        <color theme="1"/>
        <rFont val="Aptos Narrow (Body)"/>
      </rPr>
      <t>(공간 대여 가격은 문의 필요)</t>
    </r>
  </si>
  <si>
    <t>갯수</t>
  </si>
  <si>
    <t>총합계</t>
  </si>
  <si>
    <t>교수님</t>
  </si>
  <si>
    <t>학생</t>
  </si>
  <si>
    <t>인원</t>
  </si>
  <si>
    <t>공간대여</t>
  </si>
  <si>
    <t>우산</t>
  </si>
  <si>
    <t>수강생</t>
  </si>
  <si>
    <t>소현우</t>
  </si>
  <si>
    <t>이태양</t>
  </si>
  <si>
    <t>김규리</t>
  </si>
  <si>
    <t>곽승연</t>
  </si>
  <si>
    <t>김명진</t>
  </si>
  <si>
    <t>장준호</t>
  </si>
  <si>
    <t>김주원</t>
  </si>
  <si>
    <t>임희경</t>
  </si>
  <si>
    <t>안우영</t>
  </si>
  <si>
    <t>김형</t>
  </si>
  <si>
    <t>김정아</t>
  </si>
  <si>
    <t>배두리</t>
  </si>
  <si>
    <t>조현희</t>
  </si>
  <si>
    <t>이채영</t>
  </si>
  <si>
    <t>박한선</t>
  </si>
  <si>
    <t>나동현</t>
  </si>
  <si>
    <t>이교구</t>
  </si>
  <si>
    <t>정경섭</t>
  </si>
  <si>
    <t>박준서</t>
  </si>
  <si>
    <t>권지헌</t>
  </si>
  <si>
    <t>최은지</t>
  </si>
  <si>
    <t>차민경</t>
  </si>
  <si>
    <t>이수현</t>
  </si>
  <si>
    <t>이홍균</t>
  </si>
  <si>
    <t>이름</t>
  </si>
  <si>
    <t>발표회</t>
  </si>
  <si>
    <t>저녁만찬</t>
  </si>
  <si>
    <t>x</t>
  </si>
  <si>
    <t>o</t>
  </si>
  <si>
    <t>소속학과</t>
  </si>
  <si>
    <t>생명과학부</t>
  </si>
  <si>
    <t>인류학과</t>
  </si>
  <si>
    <t>심리학과</t>
  </si>
  <si>
    <t>아동가족학과</t>
  </si>
  <si>
    <t>지능정보융합학과</t>
  </si>
  <si>
    <t>간호학과</t>
  </si>
  <si>
    <t>경제학부</t>
  </si>
  <si>
    <t>식품영양학과</t>
  </si>
  <si>
    <t>자유전공학부</t>
  </si>
  <si>
    <t>화학부</t>
  </si>
  <si>
    <t>언어학과</t>
  </si>
  <si>
    <t>환경재료과학</t>
  </si>
  <si>
    <t>개별연구 랩실</t>
  </si>
  <si>
    <t>신혜영</t>
  </si>
  <si>
    <t>남가현</t>
  </si>
  <si>
    <t>이상아</t>
  </si>
  <si>
    <t>조경/지역시스템 공학부</t>
  </si>
  <si>
    <t>노경희</t>
  </si>
  <si>
    <t>오지혜</t>
  </si>
  <si>
    <t>이주하</t>
  </si>
  <si>
    <t>차지욱</t>
  </si>
  <si>
    <t>오민환</t>
  </si>
  <si>
    <t>이인아</t>
  </si>
  <si>
    <t>신수연</t>
  </si>
  <si>
    <t>정유한</t>
  </si>
  <si>
    <t>개별연구 참여여부</t>
  </si>
  <si>
    <t>-</t>
  </si>
  <si>
    <t>* 개별연구 발표회 및 저녁만찬 신청현황</t>
  </si>
  <si>
    <t>*개별연구생 중 미신청자</t>
  </si>
  <si>
    <t>합계</t>
  </si>
  <si>
    <t>조교</t>
  </si>
  <si>
    <t>구분</t>
  </si>
  <si>
    <t>우수상품(미정)</t>
  </si>
  <si>
    <t>*일정</t>
  </si>
  <si>
    <t>-발표회 준비: 13:00~14:00</t>
  </si>
  <si>
    <t>-발표회: 14:00~16:45</t>
  </si>
  <si>
    <t>-시상식: 16:45~17:00</t>
  </si>
  <si>
    <t>-식사: 17:00~19:00</t>
  </si>
  <si>
    <t>품목</t>
  </si>
  <si>
    <t>전체 예산</t>
  </si>
  <si>
    <t>잔여액</t>
  </si>
  <si>
    <t>예산</t>
  </si>
  <si>
    <t>식사(자하연 3층)</t>
  </si>
  <si>
    <t>총액</t>
  </si>
  <si>
    <t>*공간 대여 현황</t>
  </si>
  <si>
    <t>아시아연구소210호</t>
  </si>
  <si>
    <t>아시아연구소230호</t>
  </si>
  <si>
    <t>110명</t>
  </si>
  <si>
    <t>50명</t>
  </si>
  <si>
    <t>언론정보학과</t>
  </si>
  <si>
    <t>아시아 연구소</t>
  </si>
  <si>
    <t>기념품(미정)</t>
  </si>
  <si>
    <t>다과(미정)</t>
  </si>
  <si>
    <t>210호 안될시 230호</t>
  </si>
  <si>
    <t>호암교수회관 케이터링</t>
  </si>
  <si>
    <t>에플워치SE 2</t>
  </si>
  <si>
    <t>우산 링크</t>
  </si>
  <si>
    <t>헤드셋 링크</t>
  </si>
  <si>
    <t>헤드셋(보스)</t>
  </si>
  <si>
    <t>에어팟4 노캔</t>
  </si>
  <si>
    <t>케이블</t>
  </si>
  <si>
    <t>참여하는 분들 전체</t>
  </si>
  <si>
    <t>아이패드</t>
  </si>
  <si>
    <t>헤드셋</t>
  </si>
  <si>
    <t>미정</t>
  </si>
  <si>
    <t>교육지원비</t>
  </si>
  <si>
    <t>개별연구 발표회(저녁만찬, 다과-케이터링, 기념품, 우수상품)</t>
  </si>
  <si>
    <t>행사비</t>
  </si>
  <si>
    <t>회의비</t>
  </si>
  <si>
    <t>심리학과 특강 특별강의료</t>
  </si>
  <si>
    <t>특별강의료</t>
  </si>
  <si>
    <t>교육지원비 
(대학혁신)</t>
  </si>
  <si>
    <t>일반운영비</t>
  </si>
  <si>
    <t>운영비</t>
  </si>
  <si>
    <t>관리운영비</t>
  </si>
  <si>
    <t>조교 인건비</t>
  </si>
  <si>
    <t>일용임금기타운영비</t>
  </si>
  <si>
    <t>일용임금</t>
  </si>
  <si>
    <t>직원인건비등</t>
  </si>
  <si>
    <t>인건비</t>
  </si>
  <si>
    <t>일반용역비</t>
  </si>
  <si>
    <t>일반관리비</t>
  </si>
  <si>
    <t>소모품비</t>
  </si>
  <si>
    <t>기타운영비</t>
  </si>
  <si>
    <t>세부</t>
  </si>
  <si>
    <t>세목</t>
  </si>
  <si>
    <t>목</t>
  </si>
  <si>
    <t>항</t>
  </si>
  <si>
    <t>관</t>
  </si>
  <si>
    <t>소진 예정계획</t>
  </si>
  <si>
    <t>소진 예정액</t>
  </si>
  <si>
    <t>소진액</t>
  </si>
  <si>
    <t>배정액</t>
  </si>
  <si>
    <t>예산과목</t>
  </si>
  <si>
    <t>*뇌마음행동 예산 진척</t>
  </si>
  <si>
    <t>행사견적서</t>
  </si>
  <si>
    <t xml:space="preserve"> </t>
  </si>
  <si>
    <t>수량</t>
  </si>
  <si>
    <t>항목</t>
  </si>
  <si>
    <t>포스터 인쇄</t>
  </si>
  <si>
    <t>1등</t>
  </si>
  <si>
    <t>상품</t>
  </si>
  <si>
    <t>2등</t>
  </si>
  <si>
    <t>3등</t>
  </si>
  <si>
    <t>기념품</t>
  </si>
  <si>
    <t>판넬대여</t>
  </si>
  <si>
    <t>아시아연구소 210호</t>
  </si>
  <si>
    <t>자하연 3층</t>
  </si>
  <si>
    <t>에어팟</t>
  </si>
  <si>
    <t>보조배터리(각인)</t>
  </si>
  <si>
    <t>링크</t>
  </si>
  <si>
    <t>보조배터리</t>
  </si>
  <si>
    <t>보스헤드셋</t>
  </si>
  <si>
    <t>에어팟4 노이즈 캔슬링</t>
  </si>
  <si>
    <t>포스터</t>
  </si>
  <si>
    <t>다과</t>
  </si>
  <si>
    <t>커피, 물, 쿠키</t>
  </si>
  <si>
    <t>바퀴달린 전자칠판 (2개)--&gt;교육지원비에서 사용가능한지 문의</t>
  </si>
  <si>
    <t>: 문의 해야함</t>
  </si>
  <si>
    <t>: 구매 해야함</t>
  </si>
  <si>
    <t>선결제 후 학생들이 인쇄</t>
  </si>
  <si>
    <t>소니헤드셋</t>
  </si>
  <si>
    <t>투썸 배송</t>
  </si>
  <si>
    <t>음료</t>
  </si>
  <si>
    <t>쿠키</t>
  </si>
  <si>
    <t>커피(투썸), 물</t>
  </si>
  <si>
    <t>기프티콘</t>
  </si>
  <si>
    <t>구매/대여 진행여부</t>
  </si>
  <si>
    <t>완료</t>
  </si>
  <si>
    <t>미리 구매예정</t>
  </si>
  <si>
    <t>당일 구매예정</t>
  </si>
  <si>
    <t>문의완료, 선결제 예정</t>
  </si>
  <si>
    <t>이동식 판넬</t>
  </si>
  <si>
    <t>투썸 1만원권</t>
  </si>
  <si>
    <t>대여문의 예정</t>
  </si>
  <si>
    <t>*행사견적서</t>
  </si>
  <si>
    <t>►해당금액은 남을 예정인 행사비입니다.</t>
  </si>
  <si>
    <t>►기념품(보조배터리)를 교육지원비로 결제하게 되면 예산이 꽤 남아 기프티콘도 경품 혹은 기념품용으로 추가했습니다.</t>
  </si>
  <si>
    <t>►보조배터리(기념품)은 교육지원비로 결제 가능할 것 같아 행사비에 포함하지 않았습니다.</t>
  </si>
  <si>
    <t>전용하여 특별강의료로 이용 가능</t>
  </si>
  <si>
    <t>전용 가능하여 부족한 예산 보충 가능</t>
  </si>
  <si>
    <t>총 금액 합계</t>
  </si>
  <si>
    <t>►해당금액은 행사 전체 사용예정 금액입니다. 
(교육지원비 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</si>
</sst>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₩&quot;* #,##0_);_(&quot;₩&quot;* \(#,##0\);_(&quot;₩&quot;* &quot;-&quot;_);_(@_)"/>
    <numFmt numFmtId="41" formatCode="_(* #,##0_);_(* \(#,##0\);_(* &quot;-&quot;_);_(@_)"/>
  </numFmts>
  <fonts count="19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ptos Narrow (Body)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9"/>
      <name val="Trebuchet MS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돋움"/>
      <family val="3"/>
      <charset val="129"/>
    </font>
    <font>
      <sz val="12"/>
      <color theme="1"/>
      <name val="Aptos Narrow"/>
      <family val="2"/>
      <scheme val="minor"/>
    </font>
    <font>
      <sz val="10"/>
      <color rgb="FF202124"/>
      <name val="Arial"/>
      <family val="2"/>
    </font>
    <font>
      <b/>
      <sz val="11"/>
      <color theme="1"/>
      <name val="Aptos Narrow"/>
      <scheme val="minor"/>
    </font>
    <font>
      <b/>
      <sz val="10"/>
      <color rgb="FFFF0000"/>
      <name val="Aptos Narrow"/>
      <scheme val="minor"/>
    </font>
    <font>
      <b/>
      <sz val="14"/>
      <color theme="1"/>
      <name val="Aptos Narrow"/>
      <scheme val="minor"/>
    </font>
    <font>
      <sz val="8"/>
      <color rgb="FF0070C0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D49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6E8A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 diagonalUp="1"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thin">
        <color theme="0" tint="-0.34998626667073579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 diagonalUp="1"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 diagonalUp="1">
      <left/>
      <right/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 diagonalUp="1"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2499465926084170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41" fontId="12" fillId="0" borderId="0" applyFont="0" applyFill="0" applyBorder="0" applyAlignment="0" applyProtection="0"/>
    <xf numFmtId="42" fontId="12" fillId="0" borderId="0" applyFont="0" applyFill="0" applyBorder="0" applyAlignment="0" applyProtection="0"/>
  </cellStyleXfs>
  <cellXfs count="100">
    <xf numFmtId="0" fontId="0" fillId="0" borderId="0" xfId="0"/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4" xfId="0" quotePrefix="1" applyFont="1" applyBorder="1" applyAlignment="1">
      <alignment vertical="center"/>
    </xf>
    <xf numFmtId="0" fontId="8" fillId="0" borderId="0" xfId="2" applyFont="1">
      <alignment vertical="center"/>
    </xf>
    <xf numFmtId="0" fontId="9" fillId="0" borderId="0" xfId="2" applyFont="1">
      <alignment vertical="center"/>
    </xf>
    <xf numFmtId="49" fontId="9" fillId="0" borderId="1" xfId="2" applyNumberFormat="1" applyFont="1" applyBorder="1" applyAlignment="1" applyProtection="1">
      <alignment vertical="center" wrapText="1"/>
      <protection locked="0"/>
    </xf>
    <xf numFmtId="4" fontId="9" fillId="0" borderId="1" xfId="2" applyNumberFormat="1" applyFont="1" applyBorder="1" applyAlignment="1">
      <alignment horizontal="right" vertical="center"/>
    </xf>
    <xf numFmtId="3" fontId="9" fillId="0" borderId="1" xfId="2" applyNumberFormat="1" applyFont="1" applyBorder="1" applyAlignment="1">
      <alignment horizontal="right" vertical="center"/>
    </xf>
    <xf numFmtId="49" fontId="11" fillId="0" borderId="1" xfId="2" applyNumberFormat="1" applyFont="1" applyBorder="1" applyAlignment="1" applyProtection="1">
      <alignment vertical="center" wrapText="1"/>
      <protection locked="0"/>
    </xf>
    <xf numFmtId="0" fontId="10" fillId="4" borderId="1" xfId="2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6" borderId="5" xfId="0" quotePrefix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7" fillId="0" borderId="0" xfId="0" quotePrefix="1" applyFont="1" applyAlignment="1">
      <alignment horizontal="left" vertical="center"/>
    </xf>
    <xf numFmtId="41" fontId="6" fillId="0" borderId="4" xfId="3" applyFont="1" applyBorder="1" applyAlignment="1">
      <alignment vertical="center"/>
    </xf>
    <xf numFmtId="41" fontId="6" fillId="0" borderId="4" xfId="0" applyNumberFormat="1" applyFont="1" applyBorder="1" applyAlignment="1">
      <alignment vertical="center"/>
    </xf>
    <xf numFmtId="0" fontId="6" fillId="0" borderId="5" xfId="0" quotePrefix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41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4" xfId="1" applyBorder="1" applyAlignment="1">
      <alignment vertical="center"/>
    </xf>
    <xf numFmtId="0" fontId="2" fillId="0" borderId="0" xfId="1" applyAlignment="1">
      <alignment vertical="center"/>
    </xf>
    <xf numFmtId="3" fontId="6" fillId="0" borderId="4" xfId="0" applyNumberFormat="1" applyFont="1" applyBorder="1" applyAlignment="1">
      <alignment vertical="center"/>
    </xf>
    <xf numFmtId="41" fontId="6" fillId="0" borderId="0" xfId="3" applyFont="1" applyAlignment="1">
      <alignment vertical="center"/>
    </xf>
    <xf numFmtId="42" fontId="6" fillId="7" borderId="5" xfId="0" applyNumberFormat="1" applyFont="1" applyFill="1" applyBorder="1" applyAlignment="1">
      <alignment horizontal="center" vertical="center"/>
    </xf>
    <xf numFmtId="42" fontId="6" fillId="0" borderId="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6" fillId="7" borderId="5" xfId="0" applyFont="1" applyFill="1" applyBorder="1" applyAlignment="1">
      <alignment horizontal="center" vertical="center"/>
    </xf>
    <xf numFmtId="42" fontId="6" fillId="0" borderId="5" xfId="3" applyNumberFormat="1" applyFont="1" applyBorder="1" applyAlignment="1">
      <alignment horizontal="center" vertical="center"/>
    </xf>
    <xf numFmtId="42" fontId="6" fillId="0" borderId="5" xfId="4" applyFon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2" fontId="6" fillId="9" borderId="5" xfId="4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42" fontId="6" fillId="9" borderId="5" xfId="0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8" xfId="0" applyFont="1" applyBorder="1" applyAlignment="1">
      <alignment horizontal="left" vertical="center" wrapText="1"/>
    </xf>
    <xf numFmtId="0" fontId="6" fillId="5" borderId="13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7" xfId="0" quotePrefix="1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5">
    <cellStyle name="Comma [0]" xfId="3" builtinId="6"/>
    <cellStyle name="Currency [0]" xfId="4" builtinId="7"/>
    <cellStyle name="Hyperlink" xfId="1" builtinId="8"/>
    <cellStyle name="Normal" xfId="0" builtinId="0"/>
    <cellStyle name="Normal 2" xfId="2" xr:uid="{9283D27D-F786-D54B-8FB0-B99B41381B01}"/>
  </cellStyles>
  <dxfs count="0"/>
  <tableStyles count="0" defaultTableStyle="TableStyleMedium2" defaultPivotStyle="PivotStyleLight16"/>
  <colors>
    <mruColors>
      <color rgb="FFF6E8A9"/>
      <color rgb="FFFFD4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agudokebi.com/product/detail.html?product_no=25&amp;cate_no=51&amp;display_group=1" TargetMode="External"/><Relationship Id="rId3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7" Type="http://schemas.openxmlformats.org/officeDocument/2006/relationships/hyperlink" Target="https://search.shopping.naver.com/catalog/23937669525?cat_id=50007290&amp;frm=NVSCPRO&amp;query=%ED%88%AC%EC%8D%B8+%EA%B8%B0%ED%94%84%ED%8B%B0%EC%BD%98&amp;nl-ts-pid=i0s0tlqo1LVssbXPuiGssssssPh-439620&amp;NaPm=ct%3Dm3sfecr4%7Cci%3D245cca811714e8f4367674c901382dcffb35c9e5%7Ctr%3Dsls%7Csn%3D95694%7Chk%3D477d014f7c3b88121906b4f6088d4cb142bb9b01" TargetMode="External"/><Relationship Id="rId2" Type="http://schemas.openxmlformats.org/officeDocument/2006/relationships/hyperlink" Target="https://www.apple.com/kr/airpods/" TargetMode="External"/><Relationship Id="rId1" Type="http://schemas.openxmlformats.org/officeDocument/2006/relationships/hyperlink" Target="https://smartstore.naver.com/tkretail/products/10437531956?n_media=27758&amp;n_query=%EB%B3%B4%EC%A1%B0%EB%B0%B0%ED%84%B0%EB%A6%AC%EA%B0%81%EC%9D%B8&amp;n_rank=2&amp;n_ad_group=grp-a001-02-000000042873524&amp;n_ad=nad-a001-02-000000305911489&amp;n_campaign_type=2&amp;n_mall_id=tkretail&amp;n_mall_pid=10437531956&amp;n_ad_group_type=2&amp;n_match=3&amp;NaPm=ct%3Dm3r1n4yg%7Cci%3D0ya0002lVhTBBqSX01in%7Ctr%3Dpla%7Chk%3D340b3cdc37e531e26535485568fff0bcb0be1914%7Cnacn%3DVB2kBMAOWaBa" TargetMode="External"/><Relationship Id="rId6" Type="http://schemas.openxmlformats.org/officeDocument/2006/relationships/hyperlink" Target="https://store.sony.co.kr/product-view/104580435" TargetMode="External"/><Relationship Id="rId5" Type="http://schemas.openxmlformats.org/officeDocument/2006/relationships/hyperlink" Target="https://www.hmall.com/pd/pda/itemPtc?ReferCode=429&amp;slitmCd=2221320080&amp;utm_source=naver&amp;utm_medium=cps_pcs&amp;utm_campaign=sale&amp;NaPm=ct%3Dm3set08g%7Cci%3Dd26291e90979aa2a6449313a097a23f92ca53c44%7Ctr%3Dsls%7Csn%3D14%7Chk%3Dcdc1c72d0852c24a4bca4c4cc47ab2814b6b1499" TargetMode="External"/><Relationship Id="rId4" Type="http://schemas.openxmlformats.org/officeDocument/2006/relationships/hyperlink" Target="https://www.apple.com/kr/shop/buy-ipad/ipad-ai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ple.com/kr/airpods/" TargetMode="External"/><Relationship Id="rId2" Type="http://schemas.openxmlformats.org/officeDocument/2006/relationships/hyperlink" Target="https://brand.naver.com/bose/category/986e035330c4498da2e7102765f1e059?cp=1" TargetMode="External"/><Relationship Id="rId1" Type="http://schemas.openxmlformats.org/officeDocument/2006/relationships/hyperlink" Target="https://smartstore.naver.com/tkretail/products/10437531956?n_media=27758&amp;n_query=%EB%B3%B4%EC%A1%B0%EB%B0%B0%ED%84%B0%EB%A6%AC%EA%B0%81%EC%9D%B8&amp;n_rank=2&amp;n_ad_group=grp-a001-02-000000042873524&amp;n_ad=nad-a001-02-000000305911489&amp;n_campaign_type=2&amp;n_mall_id=tkretail&amp;n_mall_pid=10437531956&amp;n_ad_group_type=2&amp;n_match=3&amp;NaPm=ct%3Dm3r1n4yg%7Cci%3D0ya0002lVhTBBqSX01in%7Ctr%3Dpla%7Chk%3D340b3cdc37e531e26535485568fff0bcb0be1914%7Cnacn%3DVB2kBMAOWaBa" TargetMode="External"/><Relationship Id="rId5" Type="http://schemas.openxmlformats.org/officeDocument/2006/relationships/hyperlink" Target="https://www.apple.com/kr/shop/buy-ipad/ipad-air" TargetMode="External"/><Relationship Id="rId4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brand.naver.com/bose/products/10829152663?nl-query=%ED%97%A4%EB%93%9C%EC%85%8B+%EB%B3%B4%EC%8A%A4&amp;nl-ts-pid=ixVrKsqo15wssflzEW4sssssteC-338267&amp;NaPm=ct%3Dm2oado5k%7Cci%3Dd1ca415bd8720e7ea3039c5d768d0c8548dff979%7Ctr%3Dsls%7Csn%3D1116381%7Chk%3D7c2e460ba48d2d24fddbf0ca52d5e7eda8f63efb" TargetMode="External"/><Relationship Id="rId1" Type="http://schemas.openxmlformats.org/officeDocument/2006/relationships/hyperlink" Target="https://smartstore.naver.com/krovan/products/4593197574?NaPm=ct%3Dm1okguhk%7Cci%3D4285920709583ac8b0b271f942077780eca023f9%7Ctr%3Dslsl%7Csn%3D980170%7Chk%3Da7fccd97eb666a9d4d8c8dd379fcb90f1729fa2c&amp;nl-au=39018278b3fd42cfaea99151346e7d00&amp;nl-query=%EC%9A%B0%EC%82%B0+%EA%B0%81%EC%9D%B8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oamdining.com/?page_id=4157" TargetMode="External"/><Relationship Id="rId3" Type="http://schemas.openxmlformats.org/officeDocument/2006/relationships/hyperlink" Target="https://www.rakgujung.co.kr/catering/catering02.php" TargetMode="External"/><Relationship Id="rId7" Type="http://schemas.openxmlformats.org/officeDocument/2006/relationships/hyperlink" Target="https://humanities.snu.ac.kr/campus-life/reservation" TargetMode="External"/><Relationship Id="rId2" Type="http://schemas.openxmlformats.org/officeDocument/2006/relationships/hyperlink" Target="https://hoamdining.com/?page_id=4155" TargetMode="External"/><Relationship Id="rId1" Type="http://schemas.openxmlformats.org/officeDocument/2006/relationships/hyperlink" Target="https://hoamdining.com/?page_id=3792" TargetMode="External"/><Relationship Id="rId6" Type="http://schemas.openxmlformats.org/officeDocument/2006/relationships/hyperlink" Target="https://snufacultyclub.com/page.php?pgid=dining5" TargetMode="External"/><Relationship Id="rId5" Type="http://schemas.openxmlformats.org/officeDocument/2006/relationships/hyperlink" Target="https://www.rakgujung.co.kr/reservation/reservation01.php" TargetMode="External"/><Relationship Id="rId4" Type="http://schemas.openxmlformats.org/officeDocument/2006/relationships/hyperlink" Target="https://oldcns.snu.ac.kr/kor/academic/room_list.php?idx=140&amp;m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2ACA-C43A-A34D-AC7F-43F9FACDA565}">
  <dimension ref="B2:K34"/>
  <sheetViews>
    <sheetView showGridLines="0" tabSelected="1" workbookViewId="0">
      <selection activeCell="K14" sqref="K14"/>
    </sheetView>
  </sheetViews>
  <sheetFormatPr baseColWidth="10" defaultRowHeight="16.5" customHeight="1"/>
  <cols>
    <col min="1" max="1" width="4" style="25" customWidth="1"/>
    <col min="2" max="4" width="10.83203125" style="25"/>
    <col min="5" max="5" width="16.33203125" style="25" bestFit="1" customWidth="1"/>
    <col min="6" max="6" width="10.83203125" style="25"/>
    <col min="7" max="7" width="11.1640625" style="25" bestFit="1" customWidth="1"/>
    <col min="8" max="8" width="19" style="25" bestFit="1" customWidth="1"/>
    <col min="9" max="9" width="10.83203125" style="25"/>
    <col min="10" max="10" width="19" style="25" bestFit="1" customWidth="1"/>
    <col min="11" max="11" width="46" style="25" bestFit="1" customWidth="1"/>
    <col min="12" max="16384" width="10.83203125" style="25"/>
  </cols>
  <sheetData>
    <row r="2" spans="2:11" ht="16.5" customHeight="1">
      <c r="B2" s="51" t="s">
        <v>274</v>
      </c>
    </row>
    <row r="3" spans="2:11" ht="12" customHeight="1"/>
    <row r="4" spans="2:11" ht="16.5" customHeight="1">
      <c r="B4" s="72" t="s">
        <v>273</v>
      </c>
      <c r="C4" s="74"/>
      <c r="D4" s="74"/>
      <c r="E4" s="74"/>
      <c r="F4" s="73"/>
      <c r="G4" s="65" t="s">
        <v>272</v>
      </c>
      <c r="H4" s="65" t="s">
        <v>271</v>
      </c>
      <c r="I4" s="65" t="s">
        <v>270</v>
      </c>
      <c r="J4" s="65" t="s">
        <v>220</v>
      </c>
      <c r="K4" s="65" t="s">
        <v>269</v>
      </c>
    </row>
    <row r="5" spans="2:11" ht="16.5" customHeight="1">
      <c r="B5" s="29" t="s">
        <v>268</v>
      </c>
      <c r="C5" s="29" t="s">
        <v>267</v>
      </c>
      <c r="D5" s="29" t="s">
        <v>266</v>
      </c>
      <c r="E5" s="29" t="s">
        <v>265</v>
      </c>
      <c r="F5" s="29" t="s">
        <v>264</v>
      </c>
      <c r="G5" s="66"/>
      <c r="H5" s="66"/>
      <c r="I5" s="66"/>
      <c r="J5" s="66"/>
      <c r="K5" s="66"/>
    </row>
    <row r="6" spans="2:11" ht="16.5" customHeight="1">
      <c r="B6" s="26" t="s">
        <v>254</v>
      </c>
      <c r="C6" s="26" t="s">
        <v>253</v>
      </c>
      <c r="D6" s="26" t="s">
        <v>263</v>
      </c>
      <c r="E6" s="26" t="s">
        <v>263</v>
      </c>
      <c r="F6" s="41" t="s">
        <v>206</v>
      </c>
      <c r="G6" s="50">
        <v>800000</v>
      </c>
      <c r="H6" s="50">
        <v>0</v>
      </c>
      <c r="I6" s="50">
        <v>0</v>
      </c>
      <c r="J6" s="50">
        <f>G6-SUM(H6:I6)</f>
        <v>800000</v>
      </c>
      <c r="K6" s="41" t="s">
        <v>320</v>
      </c>
    </row>
    <row r="7" spans="2:11" ht="16.5" customHeight="1">
      <c r="B7" s="26" t="s">
        <v>254</v>
      </c>
      <c r="C7" s="26" t="s">
        <v>253</v>
      </c>
      <c r="D7" s="26" t="s">
        <v>252</v>
      </c>
      <c r="E7" s="26" t="s">
        <v>248</v>
      </c>
      <c r="F7" s="41" t="s">
        <v>206</v>
      </c>
      <c r="G7" s="50">
        <v>180000</v>
      </c>
      <c r="H7" s="50">
        <v>71800</v>
      </c>
      <c r="I7" s="50">
        <v>0</v>
      </c>
      <c r="J7" s="50">
        <f t="shared" ref="J7:J14" si="0">G7-SUM(H7:I7)</f>
        <v>108200</v>
      </c>
      <c r="K7" s="41" t="s">
        <v>244</v>
      </c>
    </row>
    <row r="8" spans="2:11" ht="16.5" customHeight="1">
      <c r="B8" s="26" t="s">
        <v>254</v>
      </c>
      <c r="C8" s="26" t="s">
        <v>261</v>
      </c>
      <c r="D8" s="26" t="s">
        <v>262</v>
      </c>
      <c r="E8" s="26" t="s">
        <v>262</v>
      </c>
      <c r="F8" s="41" t="s">
        <v>206</v>
      </c>
      <c r="G8" s="50">
        <v>220000</v>
      </c>
      <c r="H8" s="50">
        <v>0</v>
      </c>
      <c r="I8" s="50">
        <v>0</v>
      </c>
      <c r="J8" s="50">
        <f t="shared" si="0"/>
        <v>220000</v>
      </c>
      <c r="K8" s="41" t="s">
        <v>244</v>
      </c>
    </row>
    <row r="9" spans="2:11" ht="16.5" customHeight="1">
      <c r="B9" s="26" t="s">
        <v>254</v>
      </c>
      <c r="C9" s="26" t="s">
        <v>261</v>
      </c>
      <c r="D9" s="26" t="s">
        <v>260</v>
      </c>
      <c r="E9" s="26" t="s">
        <v>260</v>
      </c>
      <c r="F9" s="41" t="s">
        <v>206</v>
      </c>
      <c r="G9" s="50">
        <v>200000</v>
      </c>
      <c r="H9" s="50">
        <v>0</v>
      </c>
      <c r="I9" s="50">
        <v>0</v>
      </c>
      <c r="J9" s="50">
        <f t="shared" si="0"/>
        <v>200000</v>
      </c>
      <c r="K9" s="41" t="s">
        <v>319</v>
      </c>
    </row>
    <row r="10" spans="2:11" ht="16.5" customHeight="1">
      <c r="B10" s="26" t="s">
        <v>259</v>
      </c>
      <c r="C10" s="26" t="s">
        <v>258</v>
      </c>
      <c r="D10" s="26" t="s">
        <v>257</v>
      </c>
      <c r="E10" s="26" t="s">
        <v>256</v>
      </c>
      <c r="F10" s="41" t="s">
        <v>206</v>
      </c>
      <c r="G10" s="50">
        <v>3600000</v>
      </c>
      <c r="H10" s="50">
        <v>3600000</v>
      </c>
      <c r="I10" s="50">
        <f t="shared" ref="I10" si="1">G10-H10</f>
        <v>0</v>
      </c>
      <c r="J10" s="50">
        <f t="shared" si="0"/>
        <v>0</v>
      </c>
      <c r="K10" s="26" t="s">
        <v>255</v>
      </c>
    </row>
    <row r="11" spans="2:11" ht="16.5" customHeight="1">
      <c r="B11" s="75" t="s">
        <v>254</v>
      </c>
      <c r="C11" s="75" t="s">
        <v>253</v>
      </c>
      <c r="D11" s="75" t="s">
        <v>252</v>
      </c>
      <c r="E11" s="76" t="s">
        <v>251</v>
      </c>
      <c r="F11" s="26" t="s">
        <v>250</v>
      </c>
      <c r="G11" s="50">
        <v>1500000</v>
      </c>
      <c r="H11" s="50">
        <v>300000</v>
      </c>
      <c r="I11" s="50">
        <f>G11-H11</f>
        <v>1200000</v>
      </c>
      <c r="J11" s="50">
        <f t="shared" si="0"/>
        <v>0</v>
      </c>
      <c r="K11" s="26" t="s">
        <v>249</v>
      </c>
    </row>
    <row r="12" spans="2:11" ht="16.5" customHeight="1">
      <c r="B12" s="75"/>
      <c r="C12" s="75"/>
      <c r="D12" s="75"/>
      <c r="E12" s="75"/>
      <c r="F12" s="26" t="s">
        <v>248</v>
      </c>
      <c r="G12" s="50">
        <v>2040000</v>
      </c>
      <c r="H12" s="50">
        <v>409700</v>
      </c>
      <c r="I12" s="50">
        <v>0</v>
      </c>
      <c r="J12" s="50">
        <f t="shared" si="0"/>
        <v>1630300</v>
      </c>
      <c r="K12" s="26" t="s">
        <v>244</v>
      </c>
    </row>
    <row r="13" spans="2:11" ht="16.5" customHeight="1">
      <c r="B13" s="75"/>
      <c r="C13" s="75"/>
      <c r="D13" s="75"/>
      <c r="E13" s="75"/>
      <c r="F13" s="26" t="s">
        <v>247</v>
      </c>
      <c r="G13" s="50">
        <v>4000000</v>
      </c>
      <c r="H13" s="50">
        <v>0</v>
      </c>
      <c r="I13" s="50">
        <f t="shared" ref="I13" si="2">G13-H13</f>
        <v>4000000</v>
      </c>
      <c r="J13" s="50">
        <f t="shared" si="0"/>
        <v>0</v>
      </c>
      <c r="K13" s="26" t="s">
        <v>246</v>
      </c>
    </row>
    <row r="14" spans="2:11" ht="16.5" customHeight="1">
      <c r="B14" s="75"/>
      <c r="C14" s="75"/>
      <c r="D14" s="75"/>
      <c r="E14" s="75"/>
      <c r="F14" s="26" t="s">
        <v>245</v>
      </c>
      <c r="G14" s="50">
        <v>3700000</v>
      </c>
      <c r="H14" s="50">
        <v>0</v>
      </c>
      <c r="I14" s="50">
        <f>SUM(G30:G32)</f>
        <v>1185000</v>
      </c>
      <c r="J14" s="50">
        <f t="shared" si="0"/>
        <v>2515000</v>
      </c>
      <c r="K14" s="26" t="s">
        <v>244</v>
      </c>
    </row>
    <row r="15" spans="2:11" ht="16.5" customHeight="1">
      <c r="B15" s="77" t="s">
        <v>276</v>
      </c>
      <c r="C15" s="77"/>
      <c r="D15" s="77"/>
      <c r="E15" s="77"/>
      <c r="F15" s="77"/>
      <c r="G15" s="49">
        <f>SUM(G6:G14)</f>
        <v>16240000</v>
      </c>
      <c r="H15" s="49">
        <f>SUM(H6:H14)</f>
        <v>4381500</v>
      </c>
      <c r="I15" s="49">
        <f>SUM(I6:I14)</f>
        <v>6385000</v>
      </c>
      <c r="J15" s="49">
        <f>SUM(J6:J14)</f>
        <v>5473500</v>
      </c>
      <c r="K15" s="41" t="s">
        <v>206</v>
      </c>
    </row>
    <row r="16" spans="2:11" ht="12" customHeight="1"/>
    <row r="17" spans="2:11" ht="16" hidden="1" customHeight="1"/>
    <row r="19" spans="2:11" ht="16.5" customHeight="1">
      <c r="B19" s="51" t="s">
        <v>315</v>
      </c>
    </row>
    <row r="21" spans="2:11" ht="16.5" customHeight="1">
      <c r="B21" s="29" t="s">
        <v>264</v>
      </c>
      <c r="C21" s="72" t="s">
        <v>278</v>
      </c>
      <c r="D21" s="73"/>
      <c r="E21" s="29" t="s">
        <v>2</v>
      </c>
      <c r="F21" s="29" t="s">
        <v>277</v>
      </c>
      <c r="G21" s="29" t="s">
        <v>223</v>
      </c>
      <c r="H21" s="29" t="s">
        <v>3</v>
      </c>
      <c r="I21" s="29" t="s">
        <v>290</v>
      </c>
      <c r="J21" s="29" t="s">
        <v>307</v>
      </c>
    </row>
    <row r="22" spans="2:11" ht="16.5" customHeight="1">
      <c r="B22" s="52" t="s">
        <v>247</v>
      </c>
      <c r="C22" s="78" t="s">
        <v>147</v>
      </c>
      <c r="D22" s="79"/>
      <c r="E22" s="53">
        <v>0</v>
      </c>
      <c r="F22" s="26">
        <v>1</v>
      </c>
      <c r="G22" s="54">
        <f>E22*F22</f>
        <v>0</v>
      </c>
      <c r="H22" s="26" t="s">
        <v>286</v>
      </c>
      <c r="I22" s="41" t="s">
        <v>206</v>
      </c>
      <c r="J22" s="26" t="s">
        <v>308</v>
      </c>
    </row>
    <row r="23" spans="2:11" ht="16.5" customHeight="1">
      <c r="B23" s="52" t="s">
        <v>247</v>
      </c>
      <c r="C23" s="78" t="s">
        <v>176</v>
      </c>
      <c r="D23" s="79"/>
      <c r="E23" s="53">
        <v>30000</v>
      </c>
      <c r="F23" s="26">
        <v>27</v>
      </c>
      <c r="G23" s="54">
        <f t="shared" ref="G23:G32" si="3">E23*F23</f>
        <v>810000</v>
      </c>
      <c r="H23" s="26" t="s">
        <v>287</v>
      </c>
      <c r="I23" s="41" t="s">
        <v>206</v>
      </c>
      <c r="J23" s="26" t="s">
        <v>308</v>
      </c>
    </row>
    <row r="24" spans="2:11" ht="16.5" customHeight="1">
      <c r="B24" s="69" t="s">
        <v>247</v>
      </c>
      <c r="C24" s="67" t="s">
        <v>281</v>
      </c>
      <c r="D24" s="26" t="s">
        <v>280</v>
      </c>
      <c r="E24" s="53">
        <v>899000</v>
      </c>
      <c r="F24" s="26">
        <v>1</v>
      </c>
      <c r="G24" s="54">
        <f t="shared" si="3"/>
        <v>899000</v>
      </c>
      <c r="H24" s="26" t="s">
        <v>242</v>
      </c>
      <c r="I24" s="55" t="s">
        <v>242</v>
      </c>
      <c r="J24" s="26" t="s">
        <v>309</v>
      </c>
    </row>
    <row r="25" spans="2:11" ht="16.5" customHeight="1">
      <c r="B25" s="71"/>
      <c r="C25" s="83"/>
      <c r="D25" s="26" t="s">
        <v>282</v>
      </c>
      <c r="E25" s="53">
        <v>519000</v>
      </c>
      <c r="F25" s="26">
        <v>2</v>
      </c>
      <c r="G25" s="54">
        <f t="shared" si="3"/>
        <v>1038000</v>
      </c>
      <c r="H25" s="26" t="s">
        <v>301</v>
      </c>
      <c r="I25" s="55" t="s">
        <v>243</v>
      </c>
      <c r="J25" s="26" t="s">
        <v>309</v>
      </c>
    </row>
    <row r="26" spans="2:11" ht="16.5" customHeight="1">
      <c r="B26" s="70"/>
      <c r="C26" s="68"/>
      <c r="D26" s="26" t="s">
        <v>283</v>
      </c>
      <c r="E26" s="53">
        <v>269000</v>
      </c>
      <c r="F26" s="26">
        <v>3</v>
      </c>
      <c r="G26" s="54">
        <f t="shared" si="3"/>
        <v>807000</v>
      </c>
      <c r="H26" s="26" t="s">
        <v>293</v>
      </c>
      <c r="I26" s="55" t="s">
        <v>288</v>
      </c>
      <c r="J26" s="26" t="s">
        <v>309</v>
      </c>
    </row>
    <row r="27" spans="2:11" ht="16.5" customHeight="1">
      <c r="B27" s="69" t="s">
        <v>247</v>
      </c>
      <c r="C27" s="67" t="s">
        <v>295</v>
      </c>
      <c r="D27" s="26" t="s">
        <v>303</v>
      </c>
      <c r="E27" s="53">
        <v>6000</v>
      </c>
      <c r="F27" s="26">
        <v>25</v>
      </c>
      <c r="G27" s="54">
        <f t="shared" si="3"/>
        <v>150000</v>
      </c>
      <c r="H27" s="26" t="s">
        <v>305</v>
      </c>
      <c r="I27" s="41" t="s">
        <v>206</v>
      </c>
      <c r="J27" s="26" t="s">
        <v>310</v>
      </c>
    </row>
    <row r="28" spans="2:11" ht="16.5" customHeight="1">
      <c r="B28" s="70"/>
      <c r="C28" s="68"/>
      <c r="D28" s="26" t="s">
        <v>304</v>
      </c>
      <c r="E28" s="53">
        <v>20500</v>
      </c>
      <c r="F28" s="26">
        <v>3</v>
      </c>
      <c r="G28" s="54">
        <f t="shared" si="3"/>
        <v>61500</v>
      </c>
      <c r="H28" s="26" t="s">
        <v>302</v>
      </c>
      <c r="I28" s="55" t="s">
        <v>304</v>
      </c>
      <c r="J28" s="26" t="s">
        <v>309</v>
      </c>
    </row>
    <row r="29" spans="2:11" ht="16.5" customHeight="1">
      <c r="B29" s="52" t="s">
        <v>247</v>
      </c>
      <c r="C29" s="78" t="s">
        <v>306</v>
      </c>
      <c r="D29" s="79"/>
      <c r="E29" s="53">
        <v>8800</v>
      </c>
      <c r="F29" s="26">
        <v>25</v>
      </c>
      <c r="G29" s="54">
        <f t="shared" si="3"/>
        <v>220000</v>
      </c>
      <c r="H29" s="26" t="s">
        <v>313</v>
      </c>
      <c r="I29" s="55" t="s">
        <v>306</v>
      </c>
      <c r="J29" s="26" t="s">
        <v>309</v>
      </c>
      <c r="K29" s="62" t="s">
        <v>317</v>
      </c>
    </row>
    <row r="30" spans="2:11" ht="16.5" customHeight="1">
      <c r="B30" s="61" t="s">
        <v>245</v>
      </c>
      <c r="C30" s="78" t="s">
        <v>284</v>
      </c>
      <c r="D30" s="79"/>
      <c r="E30" s="53">
        <v>10700</v>
      </c>
      <c r="F30" s="26">
        <v>50</v>
      </c>
      <c r="G30" s="54">
        <f t="shared" si="3"/>
        <v>535000</v>
      </c>
      <c r="H30" s="26" t="s">
        <v>289</v>
      </c>
      <c r="I30" s="55" t="s">
        <v>291</v>
      </c>
      <c r="J30" s="26" t="s">
        <v>309</v>
      </c>
      <c r="K30" s="62" t="s">
        <v>318</v>
      </c>
    </row>
    <row r="31" spans="2:11" ht="16.5" customHeight="1">
      <c r="B31" s="61" t="s">
        <v>245</v>
      </c>
      <c r="C31" s="78" t="s">
        <v>285</v>
      </c>
      <c r="D31" s="79"/>
      <c r="E31" s="53">
        <v>30000</v>
      </c>
      <c r="F31" s="26">
        <v>8</v>
      </c>
      <c r="G31" s="54">
        <f>E31*F31+80000</f>
        <v>320000</v>
      </c>
      <c r="H31" s="26" t="s">
        <v>312</v>
      </c>
      <c r="I31" s="55" t="s">
        <v>285</v>
      </c>
      <c r="J31" s="26" t="s">
        <v>314</v>
      </c>
    </row>
    <row r="32" spans="2:11" ht="16.5" customHeight="1">
      <c r="B32" s="61" t="s">
        <v>245</v>
      </c>
      <c r="C32" s="78" t="s">
        <v>279</v>
      </c>
      <c r="D32" s="79"/>
      <c r="E32" s="53">
        <v>22000</v>
      </c>
      <c r="F32" s="26">
        <v>15</v>
      </c>
      <c r="G32" s="54">
        <f t="shared" si="3"/>
        <v>330000</v>
      </c>
      <c r="H32" s="26" t="s">
        <v>300</v>
      </c>
      <c r="I32" s="55" t="s">
        <v>294</v>
      </c>
      <c r="J32" s="26" t="s">
        <v>311</v>
      </c>
    </row>
    <row r="33" spans="2:10" ht="16.5" customHeight="1">
      <c r="B33" s="80" t="s">
        <v>321</v>
      </c>
      <c r="C33" s="81"/>
      <c r="D33" s="81"/>
      <c r="E33" s="81"/>
      <c r="F33" s="82"/>
      <c r="G33" s="58">
        <f>SUM(G22:G29)</f>
        <v>3985500</v>
      </c>
      <c r="H33" s="59" t="s">
        <v>220</v>
      </c>
      <c r="I33" s="60">
        <f>G13-G33</f>
        <v>14500</v>
      </c>
      <c r="J33" s="41" t="s">
        <v>206</v>
      </c>
    </row>
    <row r="34" spans="2:10" ht="27" customHeight="1">
      <c r="G34" s="64" t="s">
        <v>322</v>
      </c>
      <c r="H34" s="64"/>
      <c r="I34" s="63" t="s">
        <v>316</v>
      </c>
    </row>
  </sheetData>
  <mergeCells count="24">
    <mergeCell ref="C32:D32"/>
    <mergeCell ref="B33:F33"/>
    <mergeCell ref="C22:D22"/>
    <mergeCell ref="C23:D23"/>
    <mergeCell ref="C24:C26"/>
    <mergeCell ref="C30:D30"/>
    <mergeCell ref="C31:D31"/>
    <mergeCell ref="C29:D29"/>
    <mergeCell ref="G34:H34"/>
    <mergeCell ref="J4:J5"/>
    <mergeCell ref="K4:K5"/>
    <mergeCell ref="C27:C28"/>
    <mergeCell ref="B27:B28"/>
    <mergeCell ref="B24:B26"/>
    <mergeCell ref="C21:D21"/>
    <mergeCell ref="B4:F4"/>
    <mergeCell ref="G4:G5"/>
    <mergeCell ref="H4:H5"/>
    <mergeCell ref="I4:I5"/>
    <mergeCell ref="B11:B14"/>
    <mergeCell ref="C11:C14"/>
    <mergeCell ref="D11:D14"/>
    <mergeCell ref="E11:E14"/>
    <mergeCell ref="B15:F15"/>
  </mergeCells>
  <hyperlinks>
    <hyperlink ref="I30" r:id="rId1" xr:uid="{0E8C6804-D4CE-6347-AD58-FE9F2B66DF65}"/>
    <hyperlink ref="I26" r:id="rId2" xr:uid="{44E4125A-C80C-374D-A160-CE7B600759FA}"/>
    <hyperlink ref="I32" r:id="rId3" xr:uid="{97B4C873-96C4-D24E-AC4C-5488D0B9B871}"/>
    <hyperlink ref="I24" r:id="rId4" xr:uid="{18A00212-785B-6F41-A3D9-C6C26F3D330D}"/>
    <hyperlink ref="I28" r:id="rId5" xr:uid="{E4CED6C1-1FBA-2044-9095-89F2BA76C953}"/>
    <hyperlink ref="I25" r:id="rId6" xr:uid="{EA021DB6-4F31-6B43-84D9-1CDA7EF2F9ED}"/>
    <hyperlink ref="I29" r:id="rId7" xr:uid="{F063D143-016A-A146-A0DA-B45E9F854CB2}"/>
    <hyperlink ref="I31" r:id="rId8" xr:uid="{B8C92E1A-631B-7145-8A91-16C1B10C82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0D7F7-F79D-7743-96EE-4463757CA1F9}">
  <dimension ref="B2:K36"/>
  <sheetViews>
    <sheetView showGridLines="0" topLeftCell="A2" workbookViewId="0">
      <selection activeCell="B28" sqref="B22:B28"/>
    </sheetView>
  </sheetViews>
  <sheetFormatPr baseColWidth="10" defaultRowHeight="16.5" customHeight="1"/>
  <cols>
    <col min="1" max="1" width="4" style="25" customWidth="1"/>
    <col min="2" max="4" width="10.83203125" style="25"/>
    <col min="5" max="5" width="16.33203125" style="25" bestFit="1" customWidth="1"/>
    <col min="6" max="6" width="10.83203125" style="25"/>
    <col min="7" max="7" width="11.1640625" style="25" bestFit="1" customWidth="1"/>
    <col min="8" max="8" width="19" style="25" bestFit="1" customWidth="1"/>
    <col min="9" max="9" width="10.83203125" style="25"/>
    <col min="10" max="10" width="12.6640625" style="25" bestFit="1" customWidth="1"/>
    <col min="11" max="11" width="46" style="25" bestFit="1" customWidth="1"/>
    <col min="12" max="16384" width="10.83203125" style="25"/>
  </cols>
  <sheetData>
    <row r="2" spans="2:11" ht="16.5" customHeight="1">
      <c r="B2" s="51" t="s">
        <v>274</v>
      </c>
    </row>
    <row r="3" spans="2:11" ht="12" customHeight="1"/>
    <row r="4" spans="2:11" ht="16.5" customHeight="1">
      <c r="B4" s="72" t="s">
        <v>273</v>
      </c>
      <c r="C4" s="74"/>
      <c r="D4" s="74"/>
      <c r="E4" s="74"/>
      <c r="F4" s="73"/>
      <c r="G4" s="65" t="s">
        <v>272</v>
      </c>
      <c r="H4" s="65" t="s">
        <v>271</v>
      </c>
      <c r="I4" s="65" t="s">
        <v>270</v>
      </c>
      <c r="J4" s="65" t="s">
        <v>220</v>
      </c>
      <c r="K4" s="65" t="s">
        <v>269</v>
      </c>
    </row>
    <row r="5" spans="2:11" ht="16.5" customHeight="1">
      <c r="B5" s="29" t="s">
        <v>268</v>
      </c>
      <c r="C5" s="29" t="s">
        <v>267</v>
      </c>
      <c r="D5" s="29" t="s">
        <v>266</v>
      </c>
      <c r="E5" s="29" t="s">
        <v>265</v>
      </c>
      <c r="F5" s="29" t="s">
        <v>264</v>
      </c>
      <c r="G5" s="66"/>
      <c r="H5" s="66"/>
      <c r="I5" s="66"/>
      <c r="J5" s="66"/>
      <c r="K5" s="66"/>
    </row>
    <row r="6" spans="2:11" ht="16.5" customHeight="1">
      <c r="B6" s="26" t="s">
        <v>254</v>
      </c>
      <c r="C6" s="26" t="s">
        <v>253</v>
      </c>
      <c r="D6" s="26" t="s">
        <v>263</v>
      </c>
      <c r="E6" s="26" t="s">
        <v>263</v>
      </c>
      <c r="F6" s="41" t="s">
        <v>206</v>
      </c>
      <c r="G6" s="50">
        <v>800000</v>
      </c>
      <c r="H6" s="50">
        <v>0</v>
      </c>
      <c r="I6" s="50">
        <v>0</v>
      </c>
      <c r="J6" s="50">
        <f t="shared" ref="J6:J13" si="0">G6-H6</f>
        <v>800000</v>
      </c>
      <c r="K6" s="41" t="s">
        <v>244</v>
      </c>
    </row>
    <row r="7" spans="2:11" ht="16.5" customHeight="1">
      <c r="B7" s="26" t="s">
        <v>254</v>
      </c>
      <c r="C7" s="26" t="s">
        <v>253</v>
      </c>
      <c r="D7" s="26" t="s">
        <v>252</v>
      </c>
      <c r="E7" s="26" t="s">
        <v>248</v>
      </c>
      <c r="F7" s="41" t="s">
        <v>206</v>
      </c>
      <c r="G7" s="50">
        <v>180000</v>
      </c>
      <c r="H7" s="50">
        <v>71800</v>
      </c>
      <c r="I7" s="50">
        <v>0</v>
      </c>
      <c r="J7" s="50">
        <f t="shared" si="0"/>
        <v>108200</v>
      </c>
      <c r="K7" s="41" t="s">
        <v>244</v>
      </c>
    </row>
    <row r="8" spans="2:11" ht="16.5" customHeight="1">
      <c r="B8" s="26" t="s">
        <v>254</v>
      </c>
      <c r="C8" s="26" t="s">
        <v>261</v>
      </c>
      <c r="D8" s="26" t="s">
        <v>262</v>
      </c>
      <c r="E8" s="26" t="s">
        <v>262</v>
      </c>
      <c r="F8" s="41" t="s">
        <v>206</v>
      </c>
      <c r="G8" s="50">
        <v>220000</v>
      </c>
      <c r="H8" s="50">
        <v>0</v>
      </c>
      <c r="I8" s="50">
        <v>0</v>
      </c>
      <c r="J8" s="50">
        <f t="shared" si="0"/>
        <v>220000</v>
      </c>
      <c r="K8" s="41" t="s">
        <v>244</v>
      </c>
    </row>
    <row r="9" spans="2:11" ht="16.5" customHeight="1">
      <c r="B9" s="26" t="s">
        <v>254</v>
      </c>
      <c r="C9" s="26" t="s">
        <v>261</v>
      </c>
      <c r="D9" s="26" t="s">
        <v>260</v>
      </c>
      <c r="E9" s="26" t="s">
        <v>260</v>
      </c>
      <c r="F9" s="41" t="s">
        <v>206</v>
      </c>
      <c r="G9" s="50">
        <v>200000</v>
      </c>
      <c r="H9" s="50">
        <v>0</v>
      </c>
      <c r="I9" s="50">
        <v>0</v>
      </c>
      <c r="J9" s="50">
        <f t="shared" si="0"/>
        <v>200000</v>
      </c>
      <c r="K9" s="41" t="s">
        <v>244</v>
      </c>
    </row>
    <row r="10" spans="2:11" ht="16.5" customHeight="1">
      <c r="B10" s="26" t="s">
        <v>259</v>
      </c>
      <c r="C10" s="26" t="s">
        <v>258</v>
      </c>
      <c r="D10" s="26" t="s">
        <v>257</v>
      </c>
      <c r="E10" s="26" t="s">
        <v>256</v>
      </c>
      <c r="F10" s="41" t="s">
        <v>206</v>
      </c>
      <c r="G10" s="50">
        <v>3600000</v>
      </c>
      <c r="H10" s="50">
        <v>2400000</v>
      </c>
      <c r="I10" s="50">
        <v>1200000</v>
      </c>
      <c r="J10" s="50">
        <f t="shared" si="0"/>
        <v>1200000</v>
      </c>
      <c r="K10" s="26" t="s">
        <v>255</v>
      </c>
    </row>
    <row r="11" spans="2:11" ht="16.5" customHeight="1">
      <c r="B11" s="75" t="s">
        <v>254</v>
      </c>
      <c r="C11" s="75" t="s">
        <v>253</v>
      </c>
      <c r="D11" s="75" t="s">
        <v>252</v>
      </c>
      <c r="E11" s="76" t="s">
        <v>251</v>
      </c>
      <c r="F11" s="26" t="s">
        <v>250</v>
      </c>
      <c r="G11" s="50">
        <v>1500000</v>
      </c>
      <c r="H11" s="50">
        <v>0</v>
      </c>
      <c r="I11" s="50">
        <v>1500000</v>
      </c>
      <c r="J11" s="50">
        <f t="shared" si="0"/>
        <v>1500000</v>
      </c>
      <c r="K11" s="26" t="s">
        <v>249</v>
      </c>
    </row>
    <row r="12" spans="2:11" ht="16.5" customHeight="1">
      <c r="B12" s="75"/>
      <c r="C12" s="75"/>
      <c r="D12" s="75"/>
      <c r="E12" s="75"/>
      <c r="F12" s="26" t="s">
        <v>248</v>
      </c>
      <c r="G12" s="50">
        <v>2040000</v>
      </c>
      <c r="H12" s="50">
        <v>242500</v>
      </c>
      <c r="I12" s="50">
        <v>0</v>
      </c>
      <c r="J12" s="50">
        <f t="shared" si="0"/>
        <v>1797500</v>
      </c>
      <c r="K12" s="26" t="s">
        <v>244</v>
      </c>
    </row>
    <row r="13" spans="2:11" ht="16.5" customHeight="1">
      <c r="B13" s="75"/>
      <c r="C13" s="75"/>
      <c r="D13" s="75"/>
      <c r="E13" s="75"/>
      <c r="F13" s="26" t="s">
        <v>247</v>
      </c>
      <c r="G13" s="50">
        <v>4000000</v>
      </c>
      <c r="H13" s="50">
        <v>0</v>
      </c>
      <c r="I13" s="50">
        <v>4000000</v>
      </c>
      <c r="J13" s="50">
        <f t="shared" si="0"/>
        <v>4000000</v>
      </c>
      <c r="K13" s="26" t="s">
        <v>246</v>
      </c>
    </row>
    <row r="14" spans="2:11" ht="16.5" customHeight="1">
      <c r="B14" s="75"/>
      <c r="C14" s="75"/>
      <c r="D14" s="75"/>
      <c r="E14" s="75"/>
      <c r="F14" s="26" t="s">
        <v>245</v>
      </c>
      <c r="G14" s="50">
        <v>3700000</v>
      </c>
      <c r="H14" s="50">
        <v>0</v>
      </c>
      <c r="I14" s="50">
        <v>0</v>
      </c>
      <c r="J14" s="50">
        <f t="shared" ref="J14" si="1">G14-SUM(H14:I14)</f>
        <v>3700000</v>
      </c>
      <c r="K14" s="26" t="s">
        <v>244</v>
      </c>
    </row>
    <row r="15" spans="2:11" ht="16.5" customHeight="1">
      <c r="B15" s="77" t="s">
        <v>276</v>
      </c>
      <c r="C15" s="77"/>
      <c r="D15" s="77"/>
      <c r="E15" s="77"/>
      <c r="F15" s="77"/>
      <c r="G15" s="49">
        <f>SUM(G6:G14)</f>
        <v>16240000</v>
      </c>
      <c r="H15" s="49">
        <f>SUM(H6:H14)</f>
        <v>2714300</v>
      </c>
      <c r="I15" s="49">
        <f>SUM(I6:I14)</f>
        <v>6700000</v>
      </c>
      <c r="J15" s="49">
        <f>SUM(J6:J14)</f>
        <v>13525700</v>
      </c>
      <c r="K15" s="41" t="s">
        <v>206</v>
      </c>
    </row>
    <row r="19" spans="2:10" ht="16.5" customHeight="1">
      <c r="B19" s="25" t="s">
        <v>275</v>
      </c>
    </row>
    <row r="21" spans="2:10" ht="16.5" customHeight="1">
      <c r="B21" s="29" t="s">
        <v>264</v>
      </c>
      <c r="C21" s="72" t="s">
        <v>278</v>
      </c>
      <c r="D21" s="73"/>
      <c r="E21" s="29" t="s">
        <v>2</v>
      </c>
      <c r="F21" s="29" t="s">
        <v>277</v>
      </c>
      <c r="G21" s="29" t="s">
        <v>223</v>
      </c>
      <c r="H21" s="29" t="s">
        <v>3</v>
      </c>
      <c r="I21" s="29" t="s">
        <v>290</v>
      </c>
    </row>
    <row r="22" spans="2:10" ht="16.5" customHeight="1">
      <c r="B22" s="52" t="s">
        <v>247</v>
      </c>
      <c r="C22" s="78" t="s">
        <v>147</v>
      </c>
      <c r="D22" s="79"/>
      <c r="E22" s="53">
        <v>0</v>
      </c>
      <c r="F22" s="26">
        <v>1</v>
      </c>
      <c r="G22" s="54">
        <f>E22*F22</f>
        <v>0</v>
      </c>
      <c r="H22" s="26" t="s">
        <v>286</v>
      </c>
      <c r="I22" s="41" t="s">
        <v>206</v>
      </c>
    </row>
    <row r="23" spans="2:10" ht="16.5" customHeight="1">
      <c r="B23" s="52" t="s">
        <v>247</v>
      </c>
      <c r="C23" s="78" t="s">
        <v>176</v>
      </c>
      <c r="D23" s="79"/>
      <c r="E23" s="53">
        <v>30000</v>
      </c>
      <c r="F23" s="26">
        <v>25</v>
      </c>
      <c r="G23" s="54">
        <f t="shared" ref="G23:G30" si="2">E23*F23</f>
        <v>750000</v>
      </c>
      <c r="H23" s="26" t="s">
        <v>287</v>
      </c>
      <c r="I23" s="41" t="s">
        <v>206</v>
      </c>
    </row>
    <row r="24" spans="2:10" ht="16.5" customHeight="1">
      <c r="B24" s="52" t="s">
        <v>247</v>
      </c>
      <c r="C24" s="89" t="s">
        <v>281</v>
      </c>
      <c r="D24" s="28" t="s">
        <v>280</v>
      </c>
      <c r="E24" s="53">
        <v>899000</v>
      </c>
      <c r="F24" s="26">
        <v>1</v>
      </c>
      <c r="G24" s="54">
        <f t="shared" si="2"/>
        <v>899000</v>
      </c>
      <c r="H24" s="26" t="s">
        <v>242</v>
      </c>
      <c r="I24" s="55" t="s">
        <v>242</v>
      </c>
    </row>
    <row r="25" spans="2:10" ht="16.5" customHeight="1">
      <c r="B25" s="52" t="s">
        <v>247</v>
      </c>
      <c r="C25" s="90"/>
      <c r="D25" s="28" t="s">
        <v>282</v>
      </c>
      <c r="E25" s="53">
        <v>499000</v>
      </c>
      <c r="F25" s="26">
        <v>2</v>
      </c>
      <c r="G25" s="54">
        <f t="shared" si="2"/>
        <v>998000</v>
      </c>
      <c r="H25" s="26" t="s">
        <v>292</v>
      </c>
      <c r="I25" s="55" t="s">
        <v>243</v>
      </c>
    </row>
    <row r="26" spans="2:10" ht="16.5" customHeight="1">
      <c r="B26" s="52" t="s">
        <v>247</v>
      </c>
      <c r="C26" s="91"/>
      <c r="D26" s="28" t="s">
        <v>283</v>
      </c>
      <c r="E26" s="53">
        <v>269000</v>
      </c>
      <c r="F26" s="26">
        <v>3</v>
      </c>
      <c r="G26" s="54">
        <f t="shared" si="2"/>
        <v>807000</v>
      </c>
      <c r="H26" s="26" t="s">
        <v>293</v>
      </c>
      <c r="I26" s="55" t="s">
        <v>288</v>
      </c>
    </row>
    <row r="27" spans="2:10" ht="16.5" customHeight="1">
      <c r="B27" s="52" t="s">
        <v>247</v>
      </c>
      <c r="C27" s="84" t="s">
        <v>295</v>
      </c>
      <c r="D27" s="85"/>
      <c r="E27" s="53">
        <v>6000</v>
      </c>
      <c r="F27" s="26"/>
      <c r="G27" s="54">
        <f t="shared" si="2"/>
        <v>0</v>
      </c>
      <c r="H27" s="26" t="s">
        <v>296</v>
      </c>
      <c r="I27" s="55"/>
    </row>
    <row r="28" spans="2:10" ht="16.5" customHeight="1">
      <c r="B28" s="52" t="s">
        <v>247</v>
      </c>
      <c r="C28" s="87" t="s">
        <v>284</v>
      </c>
      <c r="D28" s="88"/>
      <c r="E28" s="53">
        <v>10700</v>
      </c>
      <c r="F28" s="26">
        <v>50</v>
      </c>
      <c r="G28" s="54">
        <f t="shared" si="2"/>
        <v>535000</v>
      </c>
      <c r="H28" s="26" t="s">
        <v>289</v>
      </c>
      <c r="I28" s="55" t="s">
        <v>291</v>
      </c>
    </row>
    <row r="29" spans="2:10" ht="16.5" customHeight="1">
      <c r="B29" s="26" t="s">
        <v>245</v>
      </c>
      <c r="C29" s="84" t="s">
        <v>285</v>
      </c>
      <c r="D29" s="85"/>
      <c r="E29" s="53">
        <v>30000</v>
      </c>
      <c r="F29" s="26">
        <v>8</v>
      </c>
      <c r="G29" s="54">
        <f t="shared" si="2"/>
        <v>240000</v>
      </c>
      <c r="H29" s="26" t="s">
        <v>300</v>
      </c>
      <c r="I29" s="26"/>
      <c r="J29" s="44"/>
    </row>
    <row r="30" spans="2:10" ht="16.5" customHeight="1">
      <c r="B30" s="26" t="s">
        <v>245</v>
      </c>
      <c r="C30" s="84" t="s">
        <v>279</v>
      </c>
      <c r="D30" s="85"/>
      <c r="E30" s="53">
        <v>30000</v>
      </c>
      <c r="F30" s="26">
        <v>15</v>
      </c>
      <c r="G30" s="54">
        <f t="shared" si="2"/>
        <v>450000</v>
      </c>
      <c r="H30" s="26"/>
      <c r="I30" s="55" t="s">
        <v>294</v>
      </c>
    </row>
    <row r="31" spans="2:10" ht="16.5" customHeight="1">
      <c r="B31" s="78" t="s">
        <v>245</v>
      </c>
      <c r="C31" s="86"/>
      <c r="D31" s="86"/>
      <c r="E31" s="86"/>
      <c r="F31" s="79"/>
      <c r="G31" s="54">
        <f>SUM(G22:G28)</f>
        <v>3989000</v>
      </c>
      <c r="H31" s="26" t="s">
        <v>220</v>
      </c>
      <c r="I31" s="50">
        <f>G13-G31</f>
        <v>11000</v>
      </c>
    </row>
    <row r="33" spans="2:5" ht="16.5" customHeight="1">
      <c r="B33" s="56"/>
      <c r="C33" s="44" t="s">
        <v>298</v>
      </c>
    </row>
    <row r="34" spans="2:5" ht="16.5" customHeight="1">
      <c r="B34" s="57"/>
      <c r="C34" s="25" t="s">
        <v>299</v>
      </c>
    </row>
    <row r="36" spans="2:5" ht="16.5" customHeight="1">
      <c r="E36" s="25" t="s">
        <v>297</v>
      </c>
    </row>
  </sheetData>
  <mergeCells count="20">
    <mergeCell ref="C30:D30"/>
    <mergeCell ref="B31:F31"/>
    <mergeCell ref="D11:D14"/>
    <mergeCell ref="C11:C14"/>
    <mergeCell ref="B11:B14"/>
    <mergeCell ref="B15:F15"/>
    <mergeCell ref="C21:D21"/>
    <mergeCell ref="C23:D23"/>
    <mergeCell ref="C22:D22"/>
    <mergeCell ref="C29:D29"/>
    <mergeCell ref="C28:D28"/>
    <mergeCell ref="C27:D27"/>
    <mergeCell ref="C24:C26"/>
    <mergeCell ref="J4:J5"/>
    <mergeCell ref="K4:K5"/>
    <mergeCell ref="B4:F4"/>
    <mergeCell ref="E11:E14"/>
    <mergeCell ref="G4:G5"/>
    <mergeCell ref="H4:H5"/>
    <mergeCell ref="I4:I5"/>
  </mergeCells>
  <hyperlinks>
    <hyperlink ref="I28" r:id="rId1" xr:uid="{3299F5C6-3941-0B47-BE81-AC802D277D15}"/>
    <hyperlink ref="I25" r:id="rId2" xr:uid="{ECB8A1AD-D60D-EA4D-95CF-4C5B33F4AFD6}"/>
    <hyperlink ref="I26" r:id="rId3" xr:uid="{A4AA32DC-0E14-ED4E-A28A-24D4551B25C5}"/>
    <hyperlink ref="I30" r:id="rId4" xr:uid="{7AE96CE3-4A4F-0748-B0C8-107A4DC4CA45}"/>
    <hyperlink ref="I24" r:id="rId5" xr:uid="{4DA6919D-E52D-BB41-B8B8-D87737759D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13AA-5D27-D245-AC5F-4C9E32075E2D}">
  <sheetPr>
    <tabColor rgb="FF92D050"/>
  </sheetPr>
  <dimension ref="B2:N30"/>
  <sheetViews>
    <sheetView showGridLines="0" workbookViewId="0">
      <selection activeCell="K23" sqref="K23"/>
    </sheetView>
  </sheetViews>
  <sheetFormatPr baseColWidth="10" defaultRowHeight="16.5" customHeight="1"/>
  <cols>
    <col min="1" max="1" width="4.33203125" style="25" customWidth="1"/>
    <col min="2" max="2" width="22.33203125" style="25" customWidth="1"/>
    <col min="3" max="9" width="10.83203125" style="25"/>
    <col min="10" max="10" width="17" style="25" bestFit="1" customWidth="1"/>
    <col min="11" max="11" width="18.83203125" style="25" bestFit="1" customWidth="1"/>
    <col min="12" max="16384" width="10.83203125" style="25"/>
  </cols>
  <sheetData>
    <row r="2" spans="2:14" ht="16.5" customHeight="1">
      <c r="B2" s="33" t="s">
        <v>207</v>
      </c>
      <c r="J2" s="34" t="s">
        <v>208</v>
      </c>
    </row>
    <row r="3" spans="2:14" ht="8" customHeight="1">
      <c r="J3" s="27"/>
    </row>
    <row r="4" spans="2:14" ht="16.5" customHeight="1">
      <c r="B4" s="26"/>
      <c r="C4" s="28" t="s">
        <v>174</v>
      </c>
      <c r="D4" s="28" t="s">
        <v>179</v>
      </c>
      <c r="E4" s="28" t="s">
        <v>205</v>
      </c>
      <c r="F4" s="28" t="s">
        <v>192</v>
      </c>
      <c r="G4" s="28" t="s">
        <v>175</v>
      </c>
      <c r="H4" s="28" t="s">
        <v>176</v>
      </c>
      <c r="J4" s="29" t="s">
        <v>174</v>
      </c>
      <c r="K4" s="29" t="s">
        <v>179</v>
      </c>
      <c r="L4" s="29" t="s">
        <v>192</v>
      </c>
      <c r="M4" s="29" t="s">
        <v>175</v>
      </c>
      <c r="N4" s="29" t="s">
        <v>176</v>
      </c>
    </row>
    <row r="5" spans="2:14" ht="16.5" customHeight="1">
      <c r="B5" s="75" t="s">
        <v>149</v>
      </c>
      <c r="C5" s="30" t="s">
        <v>153</v>
      </c>
      <c r="D5" s="30" t="s">
        <v>188</v>
      </c>
      <c r="E5" s="26" t="s">
        <v>177</v>
      </c>
      <c r="F5" s="31" t="s">
        <v>206</v>
      </c>
      <c r="G5" s="26" t="s">
        <v>178</v>
      </c>
      <c r="H5" s="26" t="s">
        <v>178</v>
      </c>
      <c r="J5" s="26" t="s">
        <v>194</v>
      </c>
      <c r="K5" s="26" t="s">
        <v>196</v>
      </c>
      <c r="L5" s="26" t="s">
        <v>195</v>
      </c>
      <c r="M5" s="26"/>
      <c r="N5" s="26"/>
    </row>
    <row r="6" spans="2:14" ht="16.5" customHeight="1">
      <c r="B6" s="75"/>
      <c r="C6" s="30" t="s">
        <v>169</v>
      </c>
      <c r="D6" s="30" t="s">
        <v>181</v>
      </c>
      <c r="E6" s="26" t="s">
        <v>177</v>
      </c>
      <c r="F6" s="31" t="s">
        <v>206</v>
      </c>
      <c r="G6" s="26" t="s">
        <v>178</v>
      </c>
      <c r="H6" s="26" t="s">
        <v>177</v>
      </c>
      <c r="J6" s="26" t="s">
        <v>197</v>
      </c>
      <c r="K6" s="30" t="s">
        <v>185</v>
      </c>
      <c r="L6" s="26" t="s">
        <v>195</v>
      </c>
      <c r="M6" s="26"/>
      <c r="N6" s="26"/>
    </row>
    <row r="7" spans="2:14" ht="16.5" customHeight="1">
      <c r="B7" s="75"/>
      <c r="C7" s="30" t="s">
        <v>152</v>
      </c>
      <c r="D7" s="30" t="s">
        <v>183</v>
      </c>
      <c r="E7" s="26" t="s">
        <v>177</v>
      </c>
      <c r="F7" s="31" t="s">
        <v>206</v>
      </c>
      <c r="G7" s="26" t="s">
        <v>178</v>
      </c>
      <c r="H7" s="26" t="s">
        <v>177</v>
      </c>
      <c r="J7" s="26" t="s">
        <v>198</v>
      </c>
      <c r="K7" s="30" t="s">
        <v>186</v>
      </c>
      <c r="L7" s="26" t="s">
        <v>164</v>
      </c>
      <c r="M7" s="26"/>
      <c r="N7" s="26"/>
    </row>
    <row r="8" spans="2:14" ht="16.5" customHeight="1">
      <c r="B8" s="75"/>
      <c r="C8" s="30" t="s">
        <v>154</v>
      </c>
      <c r="D8" s="30" t="s">
        <v>186</v>
      </c>
      <c r="E8" s="26" t="s">
        <v>177</v>
      </c>
      <c r="F8" s="31" t="s">
        <v>206</v>
      </c>
      <c r="G8" s="26" t="s">
        <v>178</v>
      </c>
      <c r="H8" s="26" t="s">
        <v>178</v>
      </c>
      <c r="J8" s="26" t="s">
        <v>199</v>
      </c>
      <c r="K8" s="30" t="s">
        <v>182</v>
      </c>
      <c r="L8" s="26" t="s">
        <v>158</v>
      </c>
      <c r="M8" s="26"/>
      <c r="N8" s="26"/>
    </row>
    <row r="9" spans="2:14" ht="16.5" customHeight="1">
      <c r="B9" s="75"/>
      <c r="C9" s="30" t="s">
        <v>160</v>
      </c>
      <c r="D9" s="30" t="s">
        <v>187</v>
      </c>
      <c r="E9" s="26" t="s">
        <v>177</v>
      </c>
      <c r="F9" s="31" t="s">
        <v>206</v>
      </c>
      <c r="G9" s="26" t="s">
        <v>178</v>
      </c>
      <c r="H9" s="26" t="s">
        <v>178</v>
      </c>
      <c r="J9" s="26" t="s">
        <v>204</v>
      </c>
      <c r="K9" s="30" t="s">
        <v>182</v>
      </c>
      <c r="L9" s="26" t="s">
        <v>158</v>
      </c>
      <c r="M9" s="26"/>
      <c r="N9" s="26"/>
    </row>
    <row r="10" spans="2:14" ht="16.5" customHeight="1">
      <c r="B10" s="75"/>
      <c r="C10" s="30" t="s">
        <v>156</v>
      </c>
      <c r="D10" s="30" t="s">
        <v>182</v>
      </c>
      <c r="E10" s="26" t="s">
        <v>177</v>
      </c>
      <c r="F10" s="31" t="s">
        <v>206</v>
      </c>
      <c r="G10" s="26" t="s">
        <v>178</v>
      </c>
      <c r="H10" s="26" t="s">
        <v>178</v>
      </c>
    </row>
    <row r="11" spans="2:14" ht="16.5" customHeight="1">
      <c r="B11" s="75"/>
      <c r="C11" s="30" t="s">
        <v>165</v>
      </c>
      <c r="D11" s="30" t="s">
        <v>188</v>
      </c>
      <c r="E11" s="26" t="s">
        <v>178</v>
      </c>
      <c r="F11" s="30" t="s">
        <v>193</v>
      </c>
      <c r="G11" s="26" t="s">
        <v>178</v>
      </c>
      <c r="H11" s="26" t="s">
        <v>178</v>
      </c>
      <c r="K11" s="32"/>
    </row>
    <row r="12" spans="2:14" ht="16.5" customHeight="1">
      <c r="B12" s="75"/>
      <c r="C12" s="30" t="s">
        <v>168</v>
      </c>
      <c r="D12" s="30" t="s">
        <v>191</v>
      </c>
      <c r="E12" s="26" t="s">
        <v>177</v>
      </c>
      <c r="F12" s="31" t="s">
        <v>206</v>
      </c>
      <c r="G12" s="26" t="s">
        <v>178</v>
      </c>
      <c r="H12" s="26" t="s">
        <v>178</v>
      </c>
      <c r="J12" s="33" t="s">
        <v>224</v>
      </c>
    </row>
    <row r="13" spans="2:14" ht="16.5" customHeight="1">
      <c r="B13" s="75"/>
      <c r="C13" s="30" t="s">
        <v>161</v>
      </c>
      <c r="D13" s="30" t="s">
        <v>180</v>
      </c>
      <c r="E13" s="26" t="s">
        <v>178</v>
      </c>
      <c r="F13" s="30" t="s">
        <v>166</v>
      </c>
      <c r="G13" s="26" t="s">
        <v>178</v>
      </c>
      <c r="H13" s="26" t="s">
        <v>178</v>
      </c>
      <c r="J13" s="28" t="s">
        <v>11</v>
      </c>
      <c r="K13" s="28" t="s">
        <v>17</v>
      </c>
      <c r="L13" s="28" t="s">
        <v>2</v>
      </c>
    </row>
    <row r="14" spans="2:14" ht="16.5" customHeight="1">
      <c r="B14" s="75"/>
      <c r="C14" s="30" t="s">
        <v>150</v>
      </c>
      <c r="D14" s="30" t="s">
        <v>189</v>
      </c>
      <c r="E14" s="26" t="s">
        <v>177</v>
      </c>
      <c r="F14" s="31" t="s">
        <v>206</v>
      </c>
      <c r="G14" s="26" t="s">
        <v>178</v>
      </c>
      <c r="H14" s="26" t="s">
        <v>178</v>
      </c>
      <c r="J14" s="26" t="s">
        <v>225</v>
      </c>
      <c r="K14" s="26" t="s">
        <v>227</v>
      </c>
      <c r="L14" s="41" t="s">
        <v>206</v>
      </c>
    </row>
    <row r="15" spans="2:14" ht="16.5" customHeight="1">
      <c r="B15" s="75"/>
      <c r="C15" s="30" t="s">
        <v>203</v>
      </c>
      <c r="D15" s="30" t="s">
        <v>229</v>
      </c>
      <c r="E15" s="26" t="s">
        <v>177</v>
      </c>
      <c r="F15" s="31" t="s">
        <v>206</v>
      </c>
      <c r="G15" s="26" t="s">
        <v>178</v>
      </c>
      <c r="H15" s="26" t="s">
        <v>177</v>
      </c>
      <c r="J15" s="26" t="s">
        <v>226</v>
      </c>
      <c r="K15" s="26" t="s">
        <v>228</v>
      </c>
      <c r="L15" s="41" t="s">
        <v>206</v>
      </c>
      <c r="M15" s="44" t="s">
        <v>233</v>
      </c>
    </row>
    <row r="16" spans="2:14" ht="16.5" customHeight="1">
      <c r="B16" s="75"/>
      <c r="C16" s="30" t="s">
        <v>163</v>
      </c>
      <c r="D16" s="30" t="s">
        <v>185</v>
      </c>
      <c r="E16" s="26" t="s">
        <v>178</v>
      </c>
      <c r="F16" s="30" t="s">
        <v>195</v>
      </c>
      <c r="G16" s="26" t="s">
        <v>178</v>
      </c>
      <c r="H16" s="26" t="s">
        <v>178</v>
      </c>
    </row>
    <row r="17" spans="2:11" ht="16.5" customHeight="1">
      <c r="B17" s="75"/>
      <c r="C17" s="30" t="s">
        <v>151</v>
      </c>
      <c r="D17" s="30" t="s">
        <v>182</v>
      </c>
      <c r="E17" s="26" t="s">
        <v>178</v>
      </c>
      <c r="F17" s="30" t="s">
        <v>200</v>
      </c>
      <c r="G17" s="26" t="s">
        <v>178</v>
      </c>
      <c r="H17" s="26" t="s">
        <v>178</v>
      </c>
      <c r="K17" s="32"/>
    </row>
    <row r="18" spans="2:11" ht="16.5" customHeight="1">
      <c r="B18" s="75"/>
      <c r="C18" s="26" t="s">
        <v>173</v>
      </c>
      <c r="D18" s="26" t="s">
        <v>182</v>
      </c>
      <c r="E18" s="26" t="s">
        <v>178</v>
      </c>
      <c r="F18" s="26" t="s">
        <v>201</v>
      </c>
      <c r="G18" s="26" t="s">
        <v>178</v>
      </c>
      <c r="H18" s="26" t="s">
        <v>178</v>
      </c>
      <c r="K18" s="32"/>
    </row>
    <row r="19" spans="2:11" ht="16.5" customHeight="1">
      <c r="B19" s="75"/>
      <c r="C19" s="30" t="s">
        <v>157</v>
      </c>
      <c r="D19" s="30" t="s">
        <v>190</v>
      </c>
      <c r="E19" s="26" t="s">
        <v>178</v>
      </c>
      <c r="F19" s="30" t="s">
        <v>202</v>
      </c>
      <c r="G19" s="26" t="s">
        <v>178</v>
      </c>
      <c r="H19" s="26" t="s">
        <v>178</v>
      </c>
    </row>
    <row r="20" spans="2:11" ht="16.5" customHeight="1">
      <c r="B20" s="75"/>
      <c r="C20" s="30" t="s">
        <v>155</v>
      </c>
      <c r="D20" s="30" t="s">
        <v>182</v>
      </c>
      <c r="E20" s="26" t="s">
        <v>178</v>
      </c>
      <c r="F20" s="30" t="s">
        <v>172</v>
      </c>
      <c r="G20" s="26" t="s">
        <v>178</v>
      </c>
      <c r="H20" s="26" t="s">
        <v>178</v>
      </c>
      <c r="K20" s="32"/>
    </row>
    <row r="21" spans="2:11" ht="16.5" customHeight="1">
      <c r="B21" s="75"/>
      <c r="C21" s="30" t="s">
        <v>167</v>
      </c>
      <c r="D21" s="30" t="s">
        <v>180</v>
      </c>
      <c r="E21" s="26" t="s">
        <v>178</v>
      </c>
      <c r="F21" s="30" t="s">
        <v>203</v>
      </c>
      <c r="G21" s="26" t="s">
        <v>178</v>
      </c>
      <c r="H21" s="26" t="s">
        <v>178</v>
      </c>
      <c r="K21" s="32"/>
    </row>
    <row r="22" spans="2:11" ht="16.5" customHeight="1">
      <c r="B22" s="75"/>
      <c r="C22" s="30" t="s">
        <v>162</v>
      </c>
      <c r="D22" s="26" t="s">
        <v>180</v>
      </c>
      <c r="E22" s="26" t="s">
        <v>178</v>
      </c>
      <c r="F22" s="26" t="s">
        <v>172</v>
      </c>
      <c r="G22" s="26" t="s">
        <v>178</v>
      </c>
      <c r="H22" s="26" t="s">
        <v>178</v>
      </c>
      <c r="K22" s="32"/>
    </row>
    <row r="23" spans="2:11" ht="16.5" customHeight="1">
      <c r="B23" s="75"/>
      <c r="C23" s="30" t="s">
        <v>171</v>
      </c>
      <c r="D23" s="30" t="s">
        <v>185</v>
      </c>
      <c r="E23" s="26" t="s">
        <v>177</v>
      </c>
      <c r="F23" s="31" t="s">
        <v>206</v>
      </c>
      <c r="G23" s="26" t="s">
        <v>178</v>
      </c>
      <c r="H23" s="26" t="s">
        <v>178</v>
      </c>
      <c r="K23" s="32"/>
    </row>
    <row r="24" spans="2:11" ht="16.5" customHeight="1">
      <c r="B24" s="75"/>
      <c r="C24" s="30" t="s">
        <v>170</v>
      </c>
      <c r="D24" s="30" t="s">
        <v>185</v>
      </c>
      <c r="E24" s="26" t="s">
        <v>177</v>
      </c>
      <c r="F24" s="31" t="s">
        <v>206</v>
      </c>
      <c r="G24" s="26" t="s">
        <v>178</v>
      </c>
      <c r="H24" s="26" t="s">
        <v>178</v>
      </c>
      <c r="K24" s="32"/>
    </row>
    <row r="25" spans="2:11" ht="16.5" customHeight="1">
      <c r="B25" s="75" t="s">
        <v>144</v>
      </c>
      <c r="C25" s="30" t="s">
        <v>159</v>
      </c>
      <c r="D25" s="30" t="s">
        <v>180</v>
      </c>
      <c r="E25" s="31" t="s">
        <v>206</v>
      </c>
      <c r="F25" s="31" t="s">
        <v>206</v>
      </c>
      <c r="G25" s="26" t="s">
        <v>178</v>
      </c>
      <c r="H25" s="26" t="s">
        <v>178</v>
      </c>
      <c r="K25" s="32"/>
    </row>
    <row r="26" spans="2:11" ht="16.5" customHeight="1">
      <c r="B26" s="75"/>
      <c r="C26" s="30" t="s">
        <v>164</v>
      </c>
      <c r="D26" s="30" t="s">
        <v>181</v>
      </c>
      <c r="E26" s="31" t="s">
        <v>206</v>
      </c>
      <c r="F26" s="31" t="s">
        <v>206</v>
      </c>
      <c r="G26" s="26" t="s">
        <v>178</v>
      </c>
      <c r="H26" s="26" t="s">
        <v>178</v>
      </c>
    </row>
    <row r="27" spans="2:11" ht="16.5" customHeight="1">
      <c r="B27" s="75"/>
      <c r="C27" s="30" t="s">
        <v>158</v>
      </c>
      <c r="D27" s="30" t="s">
        <v>182</v>
      </c>
      <c r="E27" s="31" t="s">
        <v>206</v>
      </c>
      <c r="F27" s="31" t="s">
        <v>206</v>
      </c>
      <c r="G27" s="26" t="s">
        <v>178</v>
      </c>
      <c r="H27" s="26" t="s">
        <v>178</v>
      </c>
    </row>
    <row r="28" spans="2:11" ht="16.5" customHeight="1">
      <c r="B28" s="75"/>
      <c r="C28" s="30" t="s">
        <v>166</v>
      </c>
      <c r="D28" s="30" t="s">
        <v>184</v>
      </c>
      <c r="E28" s="31" t="s">
        <v>206</v>
      </c>
      <c r="F28" s="31" t="s">
        <v>206</v>
      </c>
      <c r="G28" s="26" t="s">
        <v>177</v>
      </c>
      <c r="H28" s="26" t="s">
        <v>177</v>
      </c>
    </row>
    <row r="29" spans="2:11" ht="16.5" customHeight="1">
      <c r="B29" s="75"/>
      <c r="C29" s="30" t="s">
        <v>172</v>
      </c>
      <c r="D29" s="30" t="s">
        <v>182</v>
      </c>
      <c r="E29" s="31" t="s">
        <v>206</v>
      </c>
      <c r="F29" s="31" t="s">
        <v>206</v>
      </c>
      <c r="G29" s="26" t="s">
        <v>178</v>
      </c>
      <c r="H29" s="26" t="s">
        <v>178</v>
      </c>
    </row>
    <row r="30" spans="2:11" ht="16.5" customHeight="1">
      <c r="B30" s="35" t="s">
        <v>209</v>
      </c>
      <c r="C30" s="31">
        <v>24</v>
      </c>
      <c r="D30" s="92"/>
      <c r="E30" s="93"/>
      <c r="F30" s="94"/>
      <c r="G30" s="31">
        <f>COUNTIF(G5:G29,"o")</f>
        <v>24</v>
      </c>
      <c r="H30" s="31">
        <f>COUNTIF(H5:H29,"o")</f>
        <v>21</v>
      </c>
    </row>
  </sheetData>
  <mergeCells count="3">
    <mergeCell ref="B5:B24"/>
    <mergeCell ref="B25:B29"/>
    <mergeCell ref="D30:F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5EA6-1F34-5F49-85AC-42D49BD5B1A6}">
  <sheetPr>
    <tabColor rgb="FFFFC000"/>
  </sheetPr>
  <dimension ref="B2:P27"/>
  <sheetViews>
    <sheetView showGridLines="0" workbookViewId="0">
      <selection activeCell="P17" sqref="P17"/>
    </sheetView>
  </sheetViews>
  <sheetFormatPr baseColWidth="10" defaultRowHeight="16.5" customHeight="1"/>
  <cols>
    <col min="1" max="1" width="3.1640625" style="14" customWidth="1"/>
    <col min="2" max="5" width="10.83203125" style="14"/>
    <col min="6" max="6" width="4.6640625" style="14" customWidth="1"/>
    <col min="7" max="7" width="16.33203125" style="14" bestFit="1" customWidth="1"/>
    <col min="8" max="10" width="10.83203125" style="14"/>
    <col min="11" max="11" width="4.6640625" style="14" customWidth="1"/>
    <col min="12" max="12" width="18.33203125" style="14" bestFit="1" customWidth="1"/>
    <col min="13" max="15" width="10.83203125" style="14"/>
    <col min="16" max="16" width="10.83203125" style="14" customWidth="1"/>
    <col min="17" max="16384" width="10.83203125" style="14"/>
  </cols>
  <sheetData>
    <row r="2" spans="2:16" ht="16.5" customHeight="1">
      <c r="B2" s="34" t="s">
        <v>213</v>
      </c>
      <c r="C2" s="38" t="s">
        <v>214</v>
      </c>
    </row>
    <row r="3" spans="2:16" ht="16.5" customHeight="1">
      <c r="C3" s="38" t="s">
        <v>215</v>
      </c>
    </row>
    <row r="4" spans="2:16" ht="16.5" customHeight="1">
      <c r="C4" s="38" t="s">
        <v>216</v>
      </c>
    </row>
    <row r="5" spans="2:16" ht="16.5" customHeight="1">
      <c r="C5" s="38" t="s">
        <v>217</v>
      </c>
    </row>
    <row r="7" spans="2:16" ht="16.5" customHeight="1">
      <c r="B7" s="16" t="s">
        <v>222</v>
      </c>
      <c r="G7" s="16" t="s">
        <v>147</v>
      </c>
    </row>
    <row r="8" spans="2:16" ht="16.5" customHeight="1">
      <c r="B8" s="15" t="s">
        <v>211</v>
      </c>
      <c r="C8" s="15" t="s">
        <v>146</v>
      </c>
      <c r="D8" s="15" t="s">
        <v>2</v>
      </c>
      <c r="G8" s="15" t="s">
        <v>11</v>
      </c>
      <c r="H8" s="15" t="s">
        <v>2</v>
      </c>
    </row>
    <row r="9" spans="2:16" ht="16.5" customHeight="1">
      <c r="B9" s="15" t="s">
        <v>145</v>
      </c>
      <c r="C9" s="15">
        <v>20</v>
      </c>
      <c r="D9" s="95">
        <v>30000</v>
      </c>
      <c r="E9" s="25"/>
      <c r="G9" s="15" t="s">
        <v>230</v>
      </c>
      <c r="H9" s="15">
        <v>0</v>
      </c>
    </row>
    <row r="10" spans="2:16" ht="16.5" customHeight="1">
      <c r="B10" s="15" t="s">
        <v>144</v>
      </c>
      <c r="C10" s="17">
        <v>4</v>
      </c>
      <c r="D10" s="96"/>
      <c r="E10" s="25"/>
    </row>
    <row r="11" spans="2:16" ht="16.5" customHeight="1">
      <c r="B11" s="15" t="s">
        <v>210</v>
      </c>
      <c r="C11" s="17">
        <v>1</v>
      </c>
      <c r="D11" s="97"/>
      <c r="E11" s="25"/>
    </row>
    <row r="12" spans="2:16" ht="16.5" customHeight="1">
      <c r="B12" s="15" t="s">
        <v>143</v>
      </c>
      <c r="C12" s="15">
        <f>SUM(C9:C11)</f>
        <v>25</v>
      </c>
      <c r="D12" s="37">
        <f>D9*(C9+C10+C11)</f>
        <v>750000</v>
      </c>
      <c r="E12" s="42"/>
    </row>
    <row r="15" spans="2:16" ht="16.5" customHeight="1">
      <c r="B15" s="16" t="s">
        <v>231</v>
      </c>
      <c r="G15" s="16" t="s">
        <v>212</v>
      </c>
      <c r="I15" s="46" t="s">
        <v>237</v>
      </c>
      <c r="L15" s="16" t="s">
        <v>232</v>
      </c>
    </row>
    <row r="16" spans="2:16" ht="16.5" customHeight="1">
      <c r="B16" s="15"/>
      <c r="C16" s="15" t="s">
        <v>142</v>
      </c>
      <c r="D16" s="15" t="s">
        <v>2</v>
      </c>
      <c r="E16" s="15" t="s">
        <v>223</v>
      </c>
      <c r="G16" s="15"/>
      <c r="H16" s="15" t="s">
        <v>142</v>
      </c>
      <c r="I16" s="15" t="s">
        <v>2</v>
      </c>
      <c r="J16" s="15" t="s">
        <v>223</v>
      </c>
      <c r="L16" s="15"/>
      <c r="M16" s="15" t="s">
        <v>218</v>
      </c>
      <c r="N16" s="15" t="s">
        <v>142</v>
      </c>
      <c r="O16" s="15" t="s">
        <v>2</v>
      </c>
      <c r="P16" s="15" t="s">
        <v>223</v>
      </c>
    </row>
    <row r="17" spans="2:16" ht="16.5" customHeight="1">
      <c r="B17" s="15" t="s">
        <v>148</v>
      </c>
      <c r="C17" s="15">
        <v>20</v>
      </c>
      <c r="D17" s="15">
        <v>29800</v>
      </c>
      <c r="E17" s="15">
        <f>C17*D17</f>
        <v>596000</v>
      </c>
      <c r="G17" s="15" t="s">
        <v>238</v>
      </c>
      <c r="H17" s="15">
        <v>1</v>
      </c>
      <c r="I17" s="47">
        <v>499000</v>
      </c>
      <c r="J17" s="15">
        <f>I17*H17</f>
        <v>499000</v>
      </c>
      <c r="L17" s="15" t="s">
        <v>234</v>
      </c>
      <c r="M17" s="17" t="s">
        <v>206</v>
      </c>
      <c r="N17" s="15">
        <v>25</v>
      </c>
      <c r="O17" s="15">
        <v>12000</v>
      </c>
      <c r="P17" s="15">
        <f>N17*O17</f>
        <v>300000</v>
      </c>
    </row>
    <row r="18" spans="2:16" ht="16.5" customHeight="1">
      <c r="B18" s="45" t="s">
        <v>236</v>
      </c>
      <c r="C18" s="15"/>
      <c r="D18" s="15"/>
      <c r="E18" s="15"/>
      <c r="G18" s="15" t="s">
        <v>235</v>
      </c>
      <c r="H18" s="15">
        <v>2</v>
      </c>
      <c r="I18" s="15">
        <v>350000</v>
      </c>
      <c r="J18" s="15">
        <f>I18*H18</f>
        <v>700000</v>
      </c>
    </row>
    <row r="19" spans="2:16" ht="16.5" customHeight="1">
      <c r="G19" s="15" t="s">
        <v>239</v>
      </c>
      <c r="H19" s="15">
        <v>2</v>
      </c>
      <c r="I19" s="15">
        <v>269000</v>
      </c>
      <c r="J19" s="15">
        <f>I19*H19</f>
        <v>538000</v>
      </c>
    </row>
    <row r="20" spans="2:16" ht="16.5" customHeight="1">
      <c r="B20" s="16" t="s">
        <v>221</v>
      </c>
      <c r="J20" s="48">
        <f>SUM(J17:J19)</f>
        <v>1737000</v>
      </c>
    </row>
    <row r="21" spans="2:16" ht="16.5" customHeight="1">
      <c r="B21" s="36" t="s">
        <v>219</v>
      </c>
      <c r="C21" s="36" t="s">
        <v>221</v>
      </c>
      <c r="D21" s="36" t="s">
        <v>220</v>
      </c>
    </row>
    <row r="22" spans="2:16" ht="16.5" customHeight="1">
      <c r="B22" s="39">
        <v>4000000</v>
      </c>
      <c r="C22" s="15">
        <f>SUM(D12,H9:H9,E17:E17,J17:J19,P17:P17)</f>
        <v>3383000</v>
      </c>
      <c r="D22" s="40">
        <f>B22-C22</f>
        <v>617000</v>
      </c>
      <c r="E22" s="43"/>
      <c r="G22" s="14">
        <v>30000</v>
      </c>
      <c r="H22" s="14">
        <v>13</v>
      </c>
    </row>
    <row r="26" spans="2:16" ht="16.5" customHeight="1">
      <c r="B26" s="14" t="s">
        <v>240</v>
      </c>
      <c r="C26" s="14" t="s">
        <v>241</v>
      </c>
      <c r="G26" s="14" t="s">
        <v>242</v>
      </c>
    </row>
    <row r="27" spans="2:16" ht="16.5" customHeight="1">
      <c r="G27" s="14" t="s">
        <v>243</v>
      </c>
    </row>
  </sheetData>
  <mergeCells count="1">
    <mergeCell ref="D9:D11"/>
  </mergeCells>
  <hyperlinks>
    <hyperlink ref="B18" r:id="rId1" xr:uid="{95CAC778-9F6E-B548-8474-2997E3DF5F7B}"/>
    <hyperlink ref="I15" r:id="rId2" xr:uid="{3AD510F7-5162-C243-BCFA-5AF4784E8BBB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EF52-7D7F-4B49-9CFF-A100EC4233AD}">
  <sheetPr>
    <tabColor rgb="FFFFC000"/>
  </sheetPr>
  <dimension ref="B3:F19"/>
  <sheetViews>
    <sheetView showGridLines="0" zoomScale="80" zoomScaleNormal="80" workbookViewId="0"/>
  </sheetViews>
  <sheetFormatPr baseColWidth="10" defaultColWidth="33.6640625" defaultRowHeight="17.5" customHeight="1"/>
  <cols>
    <col min="1" max="1" width="4" style="2" customWidth="1"/>
    <col min="2" max="4" width="33.6640625" style="2"/>
    <col min="5" max="5" width="90.83203125" style="2" customWidth="1"/>
    <col min="6" max="16384" width="33.6640625" style="2"/>
  </cols>
  <sheetData>
    <row r="3" spans="2:6" ht="17.5" customHeight="1">
      <c r="B3" s="1" t="s">
        <v>140</v>
      </c>
    </row>
    <row r="4" spans="2:6" ht="7" customHeight="1"/>
    <row r="5" spans="2:6" ht="17.5" customHeight="1">
      <c r="B5" s="3" t="s">
        <v>11</v>
      </c>
      <c r="C5" s="3" t="s">
        <v>9</v>
      </c>
      <c r="D5" s="3" t="s">
        <v>2</v>
      </c>
      <c r="E5" s="3" t="s">
        <v>3</v>
      </c>
      <c r="F5" s="3" t="s">
        <v>8</v>
      </c>
    </row>
    <row r="6" spans="2:6" ht="17.5" customHeight="1">
      <c r="B6" s="98" t="s">
        <v>0</v>
      </c>
      <c r="C6" s="5" t="s">
        <v>4</v>
      </c>
      <c r="D6" s="6" t="s">
        <v>139</v>
      </c>
      <c r="E6" s="6" t="s">
        <v>10</v>
      </c>
      <c r="F6" s="99" t="s">
        <v>5</v>
      </c>
    </row>
    <row r="7" spans="2:6" ht="17.5" customHeight="1">
      <c r="B7" s="98"/>
      <c r="C7" s="5" t="s">
        <v>6</v>
      </c>
      <c r="D7" s="6" t="s">
        <v>138</v>
      </c>
      <c r="E7" s="6" t="s">
        <v>7</v>
      </c>
      <c r="F7" s="99"/>
    </row>
    <row r="8" spans="2:6" ht="17.5" customHeight="1">
      <c r="B8" s="98"/>
      <c r="C8" s="5" t="s">
        <v>135</v>
      </c>
      <c r="D8" s="6" t="s">
        <v>137</v>
      </c>
      <c r="E8" s="6" t="s">
        <v>136</v>
      </c>
      <c r="F8" s="99"/>
    </row>
    <row r="9" spans="2:6" ht="17.5" customHeight="1">
      <c r="B9" s="4" t="s">
        <v>1</v>
      </c>
      <c r="C9" s="5" t="s">
        <v>12</v>
      </c>
      <c r="D9" s="6" t="s">
        <v>134</v>
      </c>
      <c r="E9" s="6" t="s">
        <v>133</v>
      </c>
      <c r="F9" s="7" t="s">
        <v>13</v>
      </c>
    </row>
    <row r="10" spans="2:6" ht="17.5" customHeight="1">
      <c r="B10" s="4" t="s">
        <v>20</v>
      </c>
      <c r="C10" s="5" t="s">
        <v>21</v>
      </c>
      <c r="D10" s="6" t="s">
        <v>131</v>
      </c>
      <c r="E10" s="6" t="s">
        <v>132</v>
      </c>
      <c r="F10" s="7" t="s">
        <v>22</v>
      </c>
    </row>
    <row r="11" spans="2:6" ht="17.5" customHeight="1">
      <c r="E11" s="8"/>
    </row>
    <row r="12" spans="2:6" ht="17.5" customHeight="1">
      <c r="B12" s="1" t="s">
        <v>141</v>
      </c>
    </row>
    <row r="13" spans="2:6" ht="7" customHeight="1"/>
    <row r="14" spans="2:6" ht="17.5" customHeight="1">
      <c r="B14" s="3" t="s">
        <v>11</v>
      </c>
      <c r="C14" s="3" t="s">
        <v>15</v>
      </c>
      <c r="D14" s="3" t="s">
        <v>17</v>
      </c>
      <c r="E14" s="3" t="s">
        <v>3</v>
      </c>
      <c r="F14" s="3" t="s">
        <v>8</v>
      </c>
    </row>
    <row r="15" spans="2:6" ht="17.5" customHeight="1">
      <c r="B15" s="9" t="s">
        <v>14</v>
      </c>
      <c r="C15" s="5" t="s">
        <v>16</v>
      </c>
      <c r="D15" s="7" t="s">
        <v>18</v>
      </c>
      <c r="E15" s="10"/>
      <c r="F15" s="7" t="s">
        <v>128</v>
      </c>
    </row>
    <row r="16" spans="2:6" ht="17.5" customHeight="1">
      <c r="B16" s="9" t="s">
        <v>1</v>
      </c>
      <c r="C16" s="5" t="s">
        <v>1</v>
      </c>
      <c r="D16" s="7" t="s">
        <v>19</v>
      </c>
      <c r="E16" s="6" t="s">
        <v>129</v>
      </c>
      <c r="F16" s="7" t="s">
        <v>13</v>
      </c>
    </row>
    <row r="17" spans="2:6" ht="40" customHeight="1">
      <c r="B17" s="9" t="s">
        <v>23</v>
      </c>
      <c r="C17" s="5" t="s">
        <v>127</v>
      </c>
      <c r="D17" s="7" t="s">
        <v>130</v>
      </c>
      <c r="E17" s="11" t="s">
        <v>126</v>
      </c>
      <c r="F17" s="7" t="s">
        <v>24</v>
      </c>
    </row>
    <row r="18" spans="2:6" ht="17.5" customHeight="1">
      <c r="B18" s="12"/>
    </row>
    <row r="19" spans="2:6" ht="17.5" customHeight="1">
      <c r="B19" s="13"/>
    </row>
  </sheetData>
  <mergeCells count="2">
    <mergeCell ref="B6:B8"/>
    <mergeCell ref="F6:F8"/>
  </mergeCells>
  <hyperlinks>
    <hyperlink ref="C6" r:id="rId1" location="tab-2" display="https://hoamdining.com/?page_id=3792#tab-2" xr:uid="{E6B3530B-A7D3-324A-84CF-35FC607980B4}"/>
    <hyperlink ref="C7" r:id="rId2" display="케이터링 뷔페 메뉴" xr:uid="{57BAC09F-3D0F-F543-B16B-3C99C5D469C3}"/>
    <hyperlink ref="C9" r:id="rId3" xr:uid="{CC8E0B66-0B9F-6E4C-BE97-B601049C0834}"/>
    <hyperlink ref="C15" r:id="rId4" display="https://oldcns.snu.ac.kr/kor/academic/room_list.php?idx=140&amp;m=7" xr:uid="{9093218C-7512-EB4E-A382-630C6F67F146}"/>
    <hyperlink ref="C16" r:id="rId5" xr:uid="{EDDEA905-44BE-694F-8719-D9DF6C356B5D}"/>
    <hyperlink ref="C10" r:id="rId6" xr:uid="{6EFFB97B-3C06-874B-AD12-DF417BBA02D0}"/>
    <hyperlink ref="C17" r:id="rId7" xr:uid="{82934C46-D25B-4944-AF9E-B828435B2D14}"/>
    <hyperlink ref="C8" r:id="rId8" xr:uid="{ED666771-D52F-5C44-B23C-8065B222FAE3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9B9C-E927-3941-B748-A10214DDB83D}">
  <sheetPr filterMode="1"/>
  <dimension ref="A1:I81"/>
  <sheetViews>
    <sheetView zoomScale="120" zoomScaleNormal="120" workbookViewId="0">
      <selection activeCell="F87" sqref="F87"/>
    </sheetView>
  </sheetViews>
  <sheetFormatPr baseColWidth="10" defaultRowHeight="12"/>
  <cols>
    <col min="1" max="1" width="9.5" style="19" bestFit="1" customWidth="1"/>
    <col min="2" max="2" width="6.5" style="19" bestFit="1" customWidth="1"/>
    <col min="3" max="3" width="20.83203125" style="19" customWidth="1"/>
    <col min="4" max="4" width="7.83203125" style="19" bestFit="1" customWidth="1"/>
    <col min="5" max="5" width="13.6640625" style="19" customWidth="1"/>
    <col min="6" max="6" width="14.5" style="19" bestFit="1" customWidth="1"/>
    <col min="7" max="7" width="10.6640625" style="19" bestFit="1" customWidth="1"/>
    <col min="8" max="8" width="8.33203125" style="19" customWidth="1"/>
    <col min="9" max="9" width="7.83203125" style="19" bestFit="1" customWidth="1"/>
    <col min="10" max="256" width="8.83203125" style="19" customWidth="1"/>
    <col min="257" max="16384" width="10.83203125" style="19"/>
  </cols>
  <sheetData>
    <row r="1" spans="1:9">
      <c r="A1" s="18" t="s">
        <v>125</v>
      </c>
    </row>
    <row r="3" spans="1:9">
      <c r="A3" s="24" t="s">
        <v>124</v>
      </c>
      <c r="B3" s="24" t="s">
        <v>123</v>
      </c>
      <c r="C3" s="24" t="s">
        <v>122</v>
      </c>
      <c r="D3" s="24" t="s">
        <v>121</v>
      </c>
      <c r="E3" s="24" t="s">
        <v>120</v>
      </c>
      <c r="F3" s="24" t="s">
        <v>119</v>
      </c>
      <c r="G3" s="24" t="s">
        <v>118</v>
      </c>
      <c r="H3" s="24" t="s">
        <v>117</v>
      </c>
      <c r="I3" s="24" t="s">
        <v>17</v>
      </c>
    </row>
    <row r="4" spans="1:9" ht="13" hidden="1">
      <c r="A4" s="20" t="s">
        <v>115</v>
      </c>
      <c r="B4" s="20" t="s">
        <v>114</v>
      </c>
      <c r="C4" s="20" t="s">
        <v>113</v>
      </c>
      <c r="D4" s="20" t="s">
        <v>53</v>
      </c>
      <c r="E4" s="20" t="s">
        <v>25</v>
      </c>
      <c r="F4" s="21">
        <v>58.85</v>
      </c>
      <c r="G4" s="20" t="s">
        <v>26</v>
      </c>
      <c r="H4" s="20" t="s">
        <v>25</v>
      </c>
      <c r="I4" s="22">
        <v>40</v>
      </c>
    </row>
    <row r="5" spans="1:9" ht="13" hidden="1">
      <c r="A5" s="20" t="s">
        <v>115</v>
      </c>
      <c r="B5" s="20" t="s">
        <v>114</v>
      </c>
      <c r="C5" s="20" t="s">
        <v>113</v>
      </c>
      <c r="D5" s="20" t="s">
        <v>37</v>
      </c>
      <c r="E5" s="20" t="s">
        <v>25</v>
      </c>
      <c r="F5" s="21">
        <v>58.41</v>
      </c>
      <c r="G5" s="20" t="s">
        <v>26</v>
      </c>
      <c r="H5" s="20" t="s">
        <v>25</v>
      </c>
      <c r="I5" s="22">
        <v>40</v>
      </c>
    </row>
    <row r="6" spans="1:9" ht="13" hidden="1">
      <c r="A6" s="20" t="s">
        <v>115</v>
      </c>
      <c r="B6" s="20" t="s">
        <v>114</v>
      </c>
      <c r="C6" s="20" t="s">
        <v>113</v>
      </c>
      <c r="D6" s="20" t="s">
        <v>34</v>
      </c>
      <c r="E6" s="20" t="s">
        <v>25</v>
      </c>
      <c r="F6" s="21">
        <v>101.64</v>
      </c>
      <c r="G6" s="20" t="s">
        <v>26</v>
      </c>
      <c r="H6" s="20" t="s">
        <v>25</v>
      </c>
      <c r="I6" s="22">
        <v>70</v>
      </c>
    </row>
    <row r="7" spans="1:9" ht="13" hidden="1">
      <c r="A7" s="20" t="s">
        <v>115</v>
      </c>
      <c r="B7" s="20" t="s">
        <v>114</v>
      </c>
      <c r="C7" s="20" t="s">
        <v>113</v>
      </c>
      <c r="D7" s="20" t="s">
        <v>33</v>
      </c>
      <c r="E7" s="20" t="s">
        <v>25</v>
      </c>
      <c r="F7" s="21">
        <v>58.41</v>
      </c>
      <c r="G7" s="20" t="s">
        <v>26</v>
      </c>
      <c r="H7" s="20" t="s">
        <v>25</v>
      </c>
      <c r="I7" s="22">
        <v>36</v>
      </c>
    </row>
    <row r="8" spans="1:9" ht="13" hidden="1">
      <c r="A8" s="20" t="s">
        <v>115</v>
      </c>
      <c r="B8" s="20" t="s">
        <v>114</v>
      </c>
      <c r="C8" s="20" t="s">
        <v>113</v>
      </c>
      <c r="D8" s="20" t="s">
        <v>116</v>
      </c>
      <c r="E8" s="20" t="s">
        <v>25</v>
      </c>
      <c r="F8" s="21">
        <v>58.41</v>
      </c>
      <c r="G8" s="20" t="s">
        <v>26</v>
      </c>
      <c r="H8" s="20" t="s">
        <v>25</v>
      </c>
      <c r="I8" s="22">
        <v>36</v>
      </c>
    </row>
    <row r="9" spans="1:9" ht="13" hidden="1">
      <c r="A9" s="20" t="s">
        <v>115</v>
      </c>
      <c r="B9" s="20" t="s">
        <v>114</v>
      </c>
      <c r="C9" s="20" t="s">
        <v>113</v>
      </c>
      <c r="D9" s="20" t="s">
        <v>112</v>
      </c>
      <c r="E9" s="20" t="s">
        <v>25</v>
      </c>
      <c r="F9" s="21">
        <v>58.41</v>
      </c>
      <c r="G9" s="20" t="s">
        <v>26</v>
      </c>
      <c r="H9" s="20" t="s">
        <v>25</v>
      </c>
      <c r="I9" s="22">
        <v>36</v>
      </c>
    </row>
    <row r="10" spans="1:9" ht="13" hidden="1">
      <c r="A10" s="20" t="s">
        <v>110</v>
      </c>
      <c r="B10" s="20" t="s">
        <v>109</v>
      </c>
      <c r="C10" s="20" t="s">
        <v>108</v>
      </c>
      <c r="D10" s="20" t="s">
        <v>67</v>
      </c>
      <c r="E10" s="20" t="s">
        <v>25</v>
      </c>
      <c r="F10" s="21">
        <v>59.25</v>
      </c>
      <c r="G10" s="20" t="s">
        <v>26</v>
      </c>
      <c r="H10" s="20" t="s">
        <v>25</v>
      </c>
      <c r="I10" s="22">
        <v>38</v>
      </c>
    </row>
    <row r="11" spans="1:9" ht="13" hidden="1">
      <c r="A11" s="20" t="s">
        <v>110</v>
      </c>
      <c r="B11" s="20" t="s">
        <v>109</v>
      </c>
      <c r="C11" s="20" t="s">
        <v>108</v>
      </c>
      <c r="D11" s="20" t="s">
        <v>72</v>
      </c>
      <c r="E11" s="20" t="s">
        <v>84</v>
      </c>
      <c r="F11" s="21">
        <v>60.14</v>
      </c>
      <c r="G11" s="20" t="s">
        <v>26</v>
      </c>
      <c r="H11" s="20" t="s">
        <v>25</v>
      </c>
      <c r="I11" s="22">
        <v>36</v>
      </c>
    </row>
    <row r="12" spans="1:9" ht="13" hidden="1">
      <c r="A12" s="20" t="s">
        <v>110</v>
      </c>
      <c r="B12" s="20" t="s">
        <v>109</v>
      </c>
      <c r="C12" s="20" t="s">
        <v>108</v>
      </c>
      <c r="D12" s="20" t="s">
        <v>88</v>
      </c>
      <c r="E12" s="20" t="s">
        <v>84</v>
      </c>
      <c r="F12" s="21">
        <v>51.32</v>
      </c>
      <c r="G12" s="20" t="s">
        <v>26</v>
      </c>
      <c r="H12" s="20" t="s">
        <v>25</v>
      </c>
      <c r="I12" s="22">
        <v>25</v>
      </c>
    </row>
    <row r="13" spans="1:9" ht="13" hidden="1">
      <c r="A13" s="20" t="s">
        <v>110</v>
      </c>
      <c r="B13" s="20" t="s">
        <v>109</v>
      </c>
      <c r="C13" s="20" t="s">
        <v>108</v>
      </c>
      <c r="D13" s="20" t="s">
        <v>37</v>
      </c>
      <c r="E13" s="20" t="s">
        <v>84</v>
      </c>
      <c r="F13" s="21">
        <v>52.09</v>
      </c>
      <c r="G13" s="20" t="s">
        <v>26</v>
      </c>
      <c r="H13" s="20" t="s">
        <v>25</v>
      </c>
      <c r="I13" s="22">
        <v>25</v>
      </c>
    </row>
    <row r="14" spans="1:9" ht="13" hidden="1">
      <c r="A14" s="20" t="s">
        <v>110</v>
      </c>
      <c r="B14" s="20" t="s">
        <v>109</v>
      </c>
      <c r="C14" s="20" t="s">
        <v>108</v>
      </c>
      <c r="D14" s="20" t="s">
        <v>36</v>
      </c>
      <c r="E14" s="20" t="s">
        <v>84</v>
      </c>
      <c r="F14" s="21">
        <v>52.09</v>
      </c>
      <c r="G14" s="20" t="s">
        <v>26</v>
      </c>
      <c r="H14" s="20" t="s">
        <v>25</v>
      </c>
      <c r="I14" s="22">
        <v>25</v>
      </c>
    </row>
    <row r="15" spans="1:9" ht="13" hidden="1">
      <c r="A15" s="20" t="s">
        <v>110</v>
      </c>
      <c r="B15" s="20" t="s">
        <v>109</v>
      </c>
      <c r="C15" s="20" t="s">
        <v>108</v>
      </c>
      <c r="D15" s="20" t="s">
        <v>111</v>
      </c>
      <c r="E15" s="20" t="s">
        <v>84</v>
      </c>
      <c r="F15" s="21">
        <v>51.31</v>
      </c>
      <c r="G15" s="20" t="s">
        <v>26</v>
      </c>
      <c r="H15" s="20" t="s">
        <v>25</v>
      </c>
      <c r="I15" s="22">
        <v>25</v>
      </c>
    </row>
    <row r="16" spans="1:9" ht="13" hidden="1">
      <c r="A16" s="20" t="s">
        <v>110</v>
      </c>
      <c r="B16" s="20" t="s">
        <v>109</v>
      </c>
      <c r="C16" s="20" t="s">
        <v>108</v>
      </c>
      <c r="D16" s="20" t="s">
        <v>79</v>
      </c>
      <c r="E16" s="20" t="s">
        <v>84</v>
      </c>
      <c r="F16" s="21">
        <v>51.32</v>
      </c>
      <c r="G16" s="20" t="s">
        <v>26</v>
      </c>
      <c r="H16" s="20" t="s">
        <v>25</v>
      </c>
      <c r="I16" s="22">
        <v>25</v>
      </c>
    </row>
    <row r="17" spans="1:9" ht="13" hidden="1">
      <c r="A17" s="20" t="s">
        <v>110</v>
      </c>
      <c r="B17" s="20" t="s">
        <v>109</v>
      </c>
      <c r="C17" s="20" t="s">
        <v>108</v>
      </c>
      <c r="D17" s="20" t="s">
        <v>53</v>
      </c>
      <c r="E17" s="20" t="s">
        <v>84</v>
      </c>
      <c r="F17" s="21">
        <v>52.48</v>
      </c>
      <c r="G17" s="20" t="s">
        <v>26</v>
      </c>
      <c r="H17" s="20" t="s">
        <v>25</v>
      </c>
      <c r="I17" s="22">
        <v>25</v>
      </c>
    </row>
    <row r="18" spans="1:9" ht="13" hidden="1">
      <c r="A18" s="20" t="s">
        <v>101</v>
      </c>
      <c r="B18" s="20" t="s">
        <v>100</v>
      </c>
      <c r="C18" s="20" t="s">
        <v>99</v>
      </c>
      <c r="D18" s="20" t="s">
        <v>107</v>
      </c>
      <c r="E18" s="20" t="s">
        <v>84</v>
      </c>
      <c r="F18" s="21">
        <v>75.739999999999995</v>
      </c>
      <c r="G18" s="20" t="s">
        <v>26</v>
      </c>
      <c r="H18" s="20" t="s">
        <v>25</v>
      </c>
      <c r="I18" s="22">
        <v>45</v>
      </c>
    </row>
    <row r="19" spans="1:9" ht="13" hidden="1">
      <c r="A19" s="20" t="s">
        <v>101</v>
      </c>
      <c r="B19" s="20" t="s">
        <v>100</v>
      </c>
      <c r="C19" s="20" t="s">
        <v>99</v>
      </c>
      <c r="D19" s="20" t="s">
        <v>106</v>
      </c>
      <c r="E19" s="20" t="s">
        <v>105</v>
      </c>
      <c r="F19" s="21">
        <v>75.739999999999995</v>
      </c>
      <c r="G19" s="20" t="s">
        <v>26</v>
      </c>
      <c r="H19" s="20" t="s">
        <v>25</v>
      </c>
      <c r="I19" s="22">
        <v>20</v>
      </c>
    </row>
    <row r="20" spans="1:9" ht="13" hidden="1">
      <c r="A20" s="20" t="s">
        <v>101</v>
      </c>
      <c r="B20" s="20" t="s">
        <v>100</v>
      </c>
      <c r="C20" s="20" t="s">
        <v>99</v>
      </c>
      <c r="D20" s="20" t="s">
        <v>37</v>
      </c>
      <c r="E20" s="20" t="s">
        <v>104</v>
      </c>
      <c r="F20" s="21">
        <v>102.13</v>
      </c>
      <c r="G20" s="20" t="s">
        <v>26</v>
      </c>
      <c r="H20" s="20" t="s">
        <v>25</v>
      </c>
      <c r="I20" s="22">
        <v>68</v>
      </c>
    </row>
    <row r="21" spans="1:9" ht="13" hidden="1">
      <c r="A21" s="20" t="s">
        <v>101</v>
      </c>
      <c r="B21" s="20" t="s">
        <v>100</v>
      </c>
      <c r="C21" s="20" t="s">
        <v>99</v>
      </c>
      <c r="D21" s="20" t="s">
        <v>36</v>
      </c>
      <c r="E21" s="20" t="s">
        <v>25</v>
      </c>
      <c r="F21" s="21">
        <v>58.41</v>
      </c>
      <c r="G21" s="20" t="s">
        <v>26</v>
      </c>
      <c r="H21" s="20" t="s">
        <v>25</v>
      </c>
      <c r="I21" s="22">
        <v>35</v>
      </c>
    </row>
    <row r="22" spans="1:9" ht="13" hidden="1">
      <c r="A22" s="20" t="s">
        <v>101</v>
      </c>
      <c r="B22" s="20" t="s">
        <v>100</v>
      </c>
      <c r="C22" s="20" t="s">
        <v>99</v>
      </c>
      <c r="D22" s="20" t="s">
        <v>72</v>
      </c>
      <c r="E22" s="20" t="s">
        <v>25</v>
      </c>
      <c r="F22" s="21">
        <v>58.41</v>
      </c>
      <c r="G22" s="20" t="s">
        <v>26</v>
      </c>
      <c r="H22" s="20" t="s">
        <v>25</v>
      </c>
      <c r="I22" s="22">
        <v>35</v>
      </c>
    </row>
    <row r="23" spans="1:9" ht="13" hidden="1">
      <c r="A23" s="20" t="s">
        <v>101</v>
      </c>
      <c r="B23" s="20" t="s">
        <v>100</v>
      </c>
      <c r="C23" s="20" t="s">
        <v>99</v>
      </c>
      <c r="D23" s="20" t="s">
        <v>103</v>
      </c>
      <c r="E23" s="20" t="s">
        <v>25</v>
      </c>
      <c r="F23" s="21">
        <v>58.41</v>
      </c>
      <c r="G23" s="20" t="s">
        <v>26</v>
      </c>
      <c r="H23" s="20" t="s">
        <v>25</v>
      </c>
      <c r="I23" s="22">
        <v>35</v>
      </c>
    </row>
    <row r="24" spans="1:9" ht="13" hidden="1">
      <c r="A24" s="20" t="s">
        <v>101</v>
      </c>
      <c r="B24" s="20" t="s">
        <v>100</v>
      </c>
      <c r="C24" s="20" t="s">
        <v>99</v>
      </c>
      <c r="D24" s="20" t="s">
        <v>66</v>
      </c>
      <c r="E24" s="20" t="s">
        <v>25</v>
      </c>
      <c r="F24" s="21">
        <v>58.41</v>
      </c>
      <c r="G24" s="20" t="s">
        <v>26</v>
      </c>
      <c r="H24" s="20" t="s">
        <v>25</v>
      </c>
      <c r="I24" s="22">
        <v>35</v>
      </c>
    </row>
    <row r="25" spans="1:9" ht="26" hidden="1">
      <c r="A25" s="20" t="s">
        <v>101</v>
      </c>
      <c r="B25" s="20" t="s">
        <v>100</v>
      </c>
      <c r="C25" s="20" t="s">
        <v>99</v>
      </c>
      <c r="D25" s="20" t="s">
        <v>34</v>
      </c>
      <c r="E25" s="20" t="s">
        <v>102</v>
      </c>
      <c r="F25" s="21">
        <v>58.41</v>
      </c>
      <c r="G25" s="20" t="s">
        <v>26</v>
      </c>
      <c r="H25" s="20" t="s">
        <v>25</v>
      </c>
      <c r="I25" s="22">
        <v>35</v>
      </c>
    </row>
    <row r="26" spans="1:9" ht="13" hidden="1">
      <c r="A26" s="20" t="s">
        <v>101</v>
      </c>
      <c r="B26" s="20" t="s">
        <v>100</v>
      </c>
      <c r="C26" s="20" t="s">
        <v>99</v>
      </c>
      <c r="D26" s="20" t="s">
        <v>79</v>
      </c>
      <c r="E26" s="20" t="s">
        <v>84</v>
      </c>
      <c r="F26" s="21">
        <v>38.94</v>
      </c>
      <c r="G26" s="20" t="s">
        <v>26</v>
      </c>
      <c r="H26" s="20" t="s">
        <v>25</v>
      </c>
      <c r="I26" s="22">
        <v>15</v>
      </c>
    </row>
    <row r="27" spans="1:9" ht="13" hidden="1">
      <c r="A27" s="20" t="s">
        <v>101</v>
      </c>
      <c r="B27" s="20" t="s">
        <v>100</v>
      </c>
      <c r="C27" s="20" t="s">
        <v>99</v>
      </c>
      <c r="D27" s="20" t="s">
        <v>65</v>
      </c>
      <c r="E27" s="20" t="s">
        <v>84</v>
      </c>
      <c r="F27" s="21">
        <v>58.41</v>
      </c>
      <c r="G27" s="20" t="s">
        <v>26</v>
      </c>
      <c r="H27" s="20" t="s">
        <v>25</v>
      </c>
      <c r="I27" s="22">
        <v>35</v>
      </c>
    </row>
    <row r="28" spans="1:9" ht="13" hidden="1">
      <c r="A28" s="20" t="s">
        <v>101</v>
      </c>
      <c r="B28" s="20" t="s">
        <v>100</v>
      </c>
      <c r="C28" s="20" t="s">
        <v>99</v>
      </c>
      <c r="D28" s="20" t="s">
        <v>71</v>
      </c>
      <c r="E28" s="20" t="s">
        <v>84</v>
      </c>
      <c r="F28" s="21">
        <v>75.739999999999995</v>
      </c>
      <c r="G28" s="20" t="s">
        <v>26</v>
      </c>
      <c r="H28" s="20" t="s">
        <v>25</v>
      </c>
      <c r="I28" s="22">
        <v>45</v>
      </c>
    </row>
    <row r="29" spans="1:9" ht="13">
      <c r="A29" s="20" t="s">
        <v>95</v>
      </c>
      <c r="B29" s="20" t="s">
        <v>94</v>
      </c>
      <c r="C29" s="20" t="s">
        <v>93</v>
      </c>
      <c r="D29" s="20" t="s">
        <v>98</v>
      </c>
      <c r="E29" s="20" t="s">
        <v>97</v>
      </c>
      <c r="F29" s="21">
        <v>59.22</v>
      </c>
      <c r="G29" s="20" t="s">
        <v>26</v>
      </c>
      <c r="H29" s="20" t="s">
        <v>25</v>
      </c>
      <c r="I29" s="22">
        <v>21</v>
      </c>
    </row>
    <row r="30" spans="1:9" ht="13">
      <c r="A30" s="20" t="s">
        <v>95</v>
      </c>
      <c r="B30" s="20" t="s">
        <v>94</v>
      </c>
      <c r="C30" s="20" t="s">
        <v>93</v>
      </c>
      <c r="D30" s="20" t="s">
        <v>49</v>
      </c>
      <c r="E30" s="20" t="s">
        <v>16</v>
      </c>
      <c r="F30" s="21">
        <v>166.27</v>
      </c>
      <c r="G30" s="20" t="s">
        <v>26</v>
      </c>
      <c r="H30" s="20" t="s">
        <v>25</v>
      </c>
      <c r="I30" s="22">
        <v>67</v>
      </c>
    </row>
    <row r="31" spans="1:9" ht="13">
      <c r="A31" s="20" t="s">
        <v>95</v>
      </c>
      <c r="B31" s="20" t="s">
        <v>94</v>
      </c>
      <c r="C31" s="20" t="s">
        <v>93</v>
      </c>
      <c r="D31" s="20" t="s">
        <v>54</v>
      </c>
      <c r="E31" s="20" t="s">
        <v>96</v>
      </c>
      <c r="F31" s="21">
        <v>93.77</v>
      </c>
      <c r="G31" s="20" t="s">
        <v>26</v>
      </c>
      <c r="H31" s="20" t="s">
        <v>25</v>
      </c>
      <c r="I31" s="22">
        <v>24</v>
      </c>
    </row>
    <row r="32" spans="1:9" ht="13">
      <c r="A32" s="20" t="s">
        <v>95</v>
      </c>
      <c r="B32" s="20" t="s">
        <v>94</v>
      </c>
      <c r="C32" s="20" t="s">
        <v>93</v>
      </c>
      <c r="D32" s="20" t="s">
        <v>73</v>
      </c>
      <c r="E32" s="20" t="s">
        <v>84</v>
      </c>
      <c r="F32" s="21">
        <v>93.29</v>
      </c>
      <c r="G32" s="20" t="s">
        <v>26</v>
      </c>
      <c r="H32" s="20" t="s">
        <v>25</v>
      </c>
      <c r="I32" s="22">
        <v>16</v>
      </c>
    </row>
    <row r="33" spans="1:9" ht="13">
      <c r="A33" s="20" t="s">
        <v>95</v>
      </c>
      <c r="B33" s="20" t="s">
        <v>94</v>
      </c>
      <c r="C33" s="20" t="s">
        <v>93</v>
      </c>
      <c r="D33" s="20" t="s">
        <v>92</v>
      </c>
      <c r="E33" s="20" t="s">
        <v>91</v>
      </c>
      <c r="F33" s="21">
        <v>115.88</v>
      </c>
      <c r="G33" s="20" t="s">
        <v>26</v>
      </c>
      <c r="H33" s="20" t="s">
        <v>25</v>
      </c>
      <c r="I33" s="22">
        <v>64</v>
      </c>
    </row>
    <row r="34" spans="1:9" ht="13" hidden="1">
      <c r="A34" s="20" t="s">
        <v>83</v>
      </c>
      <c r="B34" s="20" t="s">
        <v>82</v>
      </c>
      <c r="C34" s="20" t="s">
        <v>81</v>
      </c>
      <c r="D34" s="20" t="s">
        <v>90</v>
      </c>
      <c r="E34" s="20" t="s">
        <v>84</v>
      </c>
      <c r="F34" s="21">
        <v>54.6</v>
      </c>
      <c r="G34" s="20" t="s">
        <v>26</v>
      </c>
      <c r="H34" s="20" t="s">
        <v>25</v>
      </c>
      <c r="I34" s="22">
        <v>20</v>
      </c>
    </row>
    <row r="35" spans="1:9" ht="13" hidden="1">
      <c r="A35" s="20" t="s">
        <v>83</v>
      </c>
      <c r="B35" s="20" t="s">
        <v>82</v>
      </c>
      <c r="C35" s="20" t="s">
        <v>81</v>
      </c>
      <c r="D35" s="20" t="s">
        <v>89</v>
      </c>
      <c r="E35" s="20" t="s">
        <v>25</v>
      </c>
      <c r="F35" s="21">
        <v>51.32</v>
      </c>
      <c r="G35" s="20" t="s">
        <v>26</v>
      </c>
      <c r="H35" s="20" t="s">
        <v>25</v>
      </c>
      <c r="I35" s="22">
        <v>30</v>
      </c>
    </row>
    <row r="36" spans="1:9" ht="13" hidden="1">
      <c r="A36" s="20" t="s">
        <v>83</v>
      </c>
      <c r="B36" s="20" t="s">
        <v>82</v>
      </c>
      <c r="C36" s="20" t="s">
        <v>81</v>
      </c>
      <c r="D36" s="20" t="s">
        <v>88</v>
      </c>
      <c r="E36" s="20" t="s">
        <v>84</v>
      </c>
      <c r="F36" s="21">
        <v>44.44</v>
      </c>
      <c r="G36" s="20" t="s">
        <v>26</v>
      </c>
      <c r="H36" s="20" t="s">
        <v>25</v>
      </c>
      <c r="I36" s="22">
        <v>20</v>
      </c>
    </row>
    <row r="37" spans="1:9" ht="13" hidden="1">
      <c r="A37" s="20" t="s">
        <v>83</v>
      </c>
      <c r="B37" s="20" t="s">
        <v>82</v>
      </c>
      <c r="C37" s="20" t="s">
        <v>81</v>
      </c>
      <c r="D37" s="20" t="s">
        <v>32</v>
      </c>
      <c r="E37" s="20" t="s">
        <v>84</v>
      </c>
      <c r="F37" s="21">
        <v>59.15</v>
      </c>
      <c r="G37" s="20" t="s">
        <v>26</v>
      </c>
      <c r="H37" s="20" t="s">
        <v>25</v>
      </c>
      <c r="I37" s="22">
        <v>20</v>
      </c>
    </row>
    <row r="38" spans="1:9" ht="13" hidden="1">
      <c r="A38" s="20" t="s">
        <v>83</v>
      </c>
      <c r="B38" s="20" t="s">
        <v>82</v>
      </c>
      <c r="C38" s="20" t="s">
        <v>81</v>
      </c>
      <c r="D38" s="20" t="s">
        <v>87</v>
      </c>
      <c r="E38" s="20" t="s">
        <v>84</v>
      </c>
      <c r="F38" s="21">
        <v>76.97</v>
      </c>
      <c r="G38" s="20" t="s">
        <v>26</v>
      </c>
      <c r="H38" s="20" t="s">
        <v>25</v>
      </c>
      <c r="I38" s="22">
        <v>50</v>
      </c>
    </row>
    <row r="39" spans="1:9" ht="13" hidden="1">
      <c r="A39" s="20" t="s">
        <v>83</v>
      </c>
      <c r="B39" s="20" t="s">
        <v>82</v>
      </c>
      <c r="C39" s="20" t="s">
        <v>81</v>
      </c>
      <c r="D39" s="20" t="s">
        <v>73</v>
      </c>
      <c r="E39" s="20" t="s">
        <v>25</v>
      </c>
      <c r="F39" s="21">
        <v>51.32</v>
      </c>
      <c r="G39" s="20" t="s">
        <v>26</v>
      </c>
      <c r="H39" s="20" t="s">
        <v>25</v>
      </c>
      <c r="I39" s="22">
        <v>30</v>
      </c>
    </row>
    <row r="40" spans="1:9" ht="13" hidden="1">
      <c r="A40" s="20" t="s">
        <v>83</v>
      </c>
      <c r="B40" s="20" t="s">
        <v>82</v>
      </c>
      <c r="C40" s="20" t="s">
        <v>81</v>
      </c>
      <c r="D40" s="20" t="s">
        <v>86</v>
      </c>
      <c r="E40" s="20" t="s">
        <v>25</v>
      </c>
      <c r="F40" s="21">
        <v>76.97</v>
      </c>
      <c r="G40" s="20" t="s">
        <v>26</v>
      </c>
      <c r="H40" s="20" t="s">
        <v>25</v>
      </c>
      <c r="I40" s="22">
        <v>55</v>
      </c>
    </row>
    <row r="41" spans="1:9" ht="13" hidden="1">
      <c r="A41" s="20" t="s">
        <v>83</v>
      </c>
      <c r="B41" s="20" t="s">
        <v>82</v>
      </c>
      <c r="C41" s="20" t="s">
        <v>81</v>
      </c>
      <c r="D41" s="20" t="s">
        <v>85</v>
      </c>
      <c r="E41" s="20" t="s">
        <v>84</v>
      </c>
      <c r="F41" s="21">
        <v>76.97</v>
      </c>
      <c r="G41" s="20" t="s">
        <v>26</v>
      </c>
      <c r="H41" s="20" t="s">
        <v>25</v>
      </c>
      <c r="I41" s="22">
        <v>50</v>
      </c>
    </row>
    <row r="42" spans="1:9" ht="13" hidden="1">
      <c r="A42" s="20" t="s">
        <v>83</v>
      </c>
      <c r="B42" s="20" t="s">
        <v>82</v>
      </c>
      <c r="C42" s="20" t="s">
        <v>81</v>
      </c>
      <c r="D42" s="20" t="s">
        <v>80</v>
      </c>
      <c r="E42" s="20" t="s">
        <v>25</v>
      </c>
      <c r="F42" s="21">
        <v>76.97</v>
      </c>
      <c r="G42" s="20" t="s">
        <v>26</v>
      </c>
      <c r="H42" s="20" t="s">
        <v>25</v>
      </c>
      <c r="I42" s="22">
        <v>53</v>
      </c>
    </row>
    <row r="43" spans="1:9" ht="13" hidden="1">
      <c r="A43" s="20" t="s">
        <v>77</v>
      </c>
      <c r="B43" s="20" t="s">
        <v>76</v>
      </c>
      <c r="C43" s="20" t="s">
        <v>75</v>
      </c>
      <c r="D43" s="20" t="s">
        <v>34</v>
      </c>
      <c r="E43" s="20" t="s">
        <v>25</v>
      </c>
      <c r="F43" s="21">
        <v>100.98</v>
      </c>
      <c r="G43" s="20" t="s">
        <v>26</v>
      </c>
      <c r="H43" s="20" t="s">
        <v>25</v>
      </c>
      <c r="I43" s="22">
        <v>78</v>
      </c>
    </row>
    <row r="44" spans="1:9" ht="13" hidden="1">
      <c r="A44" s="20" t="s">
        <v>77</v>
      </c>
      <c r="B44" s="20" t="s">
        <v>76</v>
      </c>
      <c r="C44" s="20" t="s">
        <v>75</v>
      </c>
      <c r="D44" s="20" t="s">
        <v>79</v>
      </c>
      <c r="E44" s="20" t="s">
        <v>78</v>
      </c>
      <c r="F44" s="21">
        <v>75.739999999999995</v>
      </c>
      <c r="G44" s="20" t="s">
        <v>26</v>
      </c>
      <c r="H44" s="20" t="s">
        <v>25</v>
      </c>
      <c r="I44" s="22">
        <v>55</v>
      </c>
    </row>
    <row r="45" spans="1:9" ht="13" hidden="1">
      <c r="A45" s="20" t="s">
        <v>77</v>
      </c>
      <c r="B45" s="20" t="s">
        <v>76</v>
      </c>
      <c r="C45" s="20" t="s">
        <v>75</v>
      </c>
      <c r="D45" s="20" t="s">
        <v>72</v>
      </c>
      <c r="E45" s="20" t="s">
        <v>25</v>
      </c>
      <c r="F45" s="21">
        <v>75.739999999999995</v>
      </c>
      <c r="G45" s="20" t="s">
        <v>26</v>
      </c>
      <c r="H45" s="20" t="s">
        <v>25</v>
      </c>
      <c r="I45" s="22">
        <v>55</v>
      </c>
    </row>
    <row r="46" spans="1:9" ht="13" hidden="1">
      <c r="A46" s="20" t="s">
        <v>77</v>
      </c>
      <c r="B46" s="20" t="s">
        <v>76</v>
      </c>
      <c r="C46" s="20" t="s">
        <v>75</v>
      </c>
      <c r="D46" s="20" t="s">
        <v>66</v>
      </c>
      <c r="E46" s="20" t="s">
        <v>74</v>
      </c>
      <c r="F46" s="21">
        <v>59.9</v>
      </c>
      <c r="G46" s="20" t="s">
        <v>26</v>
      </c>
      <c r="H46" s="20" t="s">
        <v>25</v>
      </c>
      <c r="I46" s="22">
        <v>20</v>
      </c>
    </row>
    <row r="47" spans="1:9" ht="13" hidden="1">
      <c r="A47" s="20" t="s">
        <v>64</v>
      </c>
      <c r="B47" s="20" t="s">
        <v>63</v>
      </c>
      <c r="C47" s="20" t="s">
        <v>62</v>
      </c>
      <c r="D47" s="20" t="s">
        <v>39</v>
      </c>
      <c r="E47" s="20" t="s">
        <v>25</v>
      </c>
      <c r="F47" s="21">
        <v>102.86</v>
      </c>
      <c r="G47" s="20" t="s">
        <v>26</v>
      </c>
      <c r="H47" s="20" t="s">
        <v>25</v>
      </c>
      <c r="I47" s="22">
        <v>50</v>
      </c>
    </row>
    <row r="48" spans="1:9" ht="13" hidden="1">
      <c r="A48" s="20" t="s">
        <v>64</v>
      </c>
      <c r="B48" s="20" t="s">
        <v>63</v>
      </c>
      <c r="C48" s="20" t="s">
        <v>62</v>
      </c>
      <c r="D48" s="20" t="s">
        <v>40</v>
      </c>
      <c r="E48" s="20" t="s">
        <v>25</v>
      </c>
      <c r="F48" s="21">
        <v>89.45</v>
      </c>
      <c r="G48" s="20" t="s">
        <v>26</v>
      </c>
      <c r="H48" s="20" t="s">
        <v>25</v>
      </c>
      <c r="I48" s="22">
        <v>62</v>
      </c>
    </row>
    <row r="49" spans="1:9" ht="13" hidden="1">
      <c r="A49" s="20" t="s">
        <v>64</v>
      </c>
      <c r="B49" s="20" t="s">
        <v>63</v>
      </c>
      <c r="C49" s="20" t="s">
        <v>62</v>
      </c>
      <c r="D49" s="20" t="s">
        <v>73</v>
      </c>
      <c r="E49" s="20" t="s">
        <v>25</v>
      </c>
      <c r="F49" s="21">
        <v>58.95</v>
      </c>
      <c r="G49" s="20" t="s">
        <v>26</v>
      </c>
      <c r="H49" s="20" t="s">
        <v>25</v>
      </c>
      <c r="I49" s="22">
        <v>44</v>
      </c>
    </row>
    <row r="50" spans="1:9" ht="13" hidden="1">
      <c r="A50" s="20" t="s">
        <v>64</v>
      </c>
      <c r="B50" s="20" t="s">
        <v>63</v>
      </c>
      <c r="C50" s="20" t="s">
        <v>62</v>
      </c>
      <c r="D50" s="20" t="s">
        <v>37</v>
      </c>
      <c r="E50" s="20" t="s">
        <v>25</v>
      </c>
      <c r="F50" s="21">
        <v>117.55</v>
      </c>
      <c r="G50" s="20" t="s">
        <v>26</v>
      </c>
      <c r="H50" s="20" t="s">
        <v>25</v>
      </c>
      <c r="I50" s="22">
        <v>85</v>
      </c>
    </row>
    <row r="51" spans="1:9" ht="13" hidden="1">
      <c r="A51" s="20" t="s">
        <v>64</v>
      </c>
      <c r="B51" s="20" t="s">
        <v>63</v>
      </c>
      <c r="C51" s="20" t="s">
        <v>62</v>
      </c>
      <c r="D51" s="20" t="s">
        <v>53</v>
      </c>
      <c r="E51" s="20" t="s">
        <v>25</v>
      </c>
      <c r="F51" s="21">
        <v>118.79</v>
      </c>
      <c r="G51" s="20" t="s">
        <v>26</v>
      </c>
      <c r="H51" s="20" t="s">
        <v>25</v>
      </c>
      <c r="I51" s="22">
        <v>85</v>
      </c>
    </row>
    <row r="52" spans="1:9" ht="13" hidden="1">
      <c r="A52" s="20" t="s">
        <v>64</v>
      </c>
      <c r="B52" s="20" t="s">
        <v>63</v>
      </c>
      <c r="C52" s="20" t="s">
        <v>62</v>
      </c>
      <c r="D52" s="20" t="s">
        <v>72</v>
      </c>
      <c r="E52" s="20" t="s">
        <v>25</v>
      </c>
      <c r="F52" s="21">
        <v>177.61</v>
      </c>
      <c r="G52" s="20" t="s">
        <v>26</v>
      </c>
      <c r="H52" s="20" t="s">
        <v>25</v>
      </c>
      <c r="I52" s="22">
        <v>100</v>
      </c>
    </row>
    <row r="53" spans="1:9" ht="13" hidden="1">
      <c r="A53" s="20" t="s">
        <v>64</v>
      </c>
      <c r="B53" s="20" t="s">
        <v>63</v>
      </c>
      <c r="C53" s="20" t="s">
        <v>62</v>
      </c>
      <c r="D53" s="20" t="s">
        <v>71</v>
      </c>
      <c r="E53" s="20" t="s">
        <v>25</v>
      </c>
      <c r="F53" s="21">
        <v>32.049999999999997</v>
      </c>
      <c r="G53" s="20" t="s">
        <v>26</v>
      </c>
      <c r="H53" s="20" t="s">
        <v>25</v>
      </c>
      <c r="I53" s="22">
        <v>16</v>
      </c>
    </row>
    <row r="54" spans="1:9" ht="13" hidden="1">
      <c r="A54" s="20" t="s">
        <v>64</v>
      </c>
      <c r="B54" s="20" t="s">
        <v>63</v>
      </c>
      <c r="C54" s="20" t="s">
        <v>62</v>
      </c>
      <c r="D54" s="20" t="s">
        <v>70</v>
      </c>
      <c r="E54" s="20" t="s">
        <v>25</v>
      </c>
      <c r="F54" s="21">
        <v>31.38</v>
      </c>
      <c r="G54" s="20" t="s">
        <v>26</v>
      </c>
      <c r="H54" s="20" t="s">
        <v>25</v>
      </c>
      <c r="I54" s="22">
        <v>16</v>
      </c>
    </row>
    <row r="55" spans="1:9" ht="13" hidden="1">
      <c r="A55" s="20" t="s">
        <v>64</v>
      </c>
      <c r="B55" s="20" t="s">
        <v>63</v>
      </c>
      <c r="C55" s="20" t="s">
        <v>62</v>
      </c>
      <c r="D55" s="20" t="s">
        <v>69</v>
      </c>
      <c r="E55" s="20" t="s">
        <v>25</v>
      </c>
      <c r="F55" s="21">
        <v>31.38</v>
      </c>
      <c r="G55" s="20" t="s">
        <v>26</v>
      </c>
      <c r="H55" s="20" t="s">
        <v>25</v>
      </c>
      <c r="I55" s="22">
        <v>16</v>
      </c>
    </row>
    <row r="56" spans="1:9" ht="13" hidden="1">
      <c r="A56" s="20" t="s">
        <v>64</v>
      </c>
      <c r="B56" s="20" t="s">
        <v>63</v>
      </c>
      <c r="C56" s="20" t="s">
        <v>62</v>
      </c>
      <c r="D56" s="20" t="s">
        <v>68</v>
      </c>
      <c r="E56" s="20" t="s">
        <v>25</v>
      </c>
      <c r="F56" s="21">
        <v>31.38</v>
      </c>
      <c r="G56" s="20" t="s">
        <v>26</v>
      </c>
      <c r="H56" s="20" t="s">
        <v>25</v>
      </c>
      <c r="I56" s="22">
        <v>16</v>
      </c>
    </row>
    <row r="57" spans="1:9" ht="13" hidden="1">
      <c r="A57" s="20" t="s">
        <v>64</v>
      </c>
      <c r="B57" s="20" t="s">
        <v>63</v>
      </c>
      <c r="C57" s="20" t="s">
        <v>62</v>
      </c>
      <c r="D57" s="20" t="s">
        <v>67</v>
      </c>
      <c r="E57" s="20" t="s">
        <v>25</v>
      </c>
      <c r="F57" s="21">
        <v>31.38</v>
      </c>
      <c r="G57" s="20" t="s">
        <v>26</v>
      </c>
      <c r="H57" s="20" t="s">
        <v>25</v>
      </c>
      <c r="I57" s="22">
        <v>16</v>
      </c>
    </row>
    <row r="58" spans="1:9" ht="13" hidden="1">
      <c r="A58" s="20" t="s">
        <v>64</v>
      </c>
      <c r="B58" s="20" t="s">
        <v>63</v>
      </c>
      <c r="C58" s="20" t="s">
        <v>62</v>
      </c>
      <c r="D58" s="20" t="s">
        <v>66</v>
      </c>
      <c r="E58" s="20" t="s">
        <v>25</v>
      </c>
      <c r="F58" s="21">
        <v>32.1</v>
      </c>
      <c r="G58" s="20" t="s">
        <v>26</v>
      </c>
      <c r="H58" s="20" t="s">
        <v>25</v>
      </c>
      <c r="I58" s="22">
        <v>16</v>
      </c>
    </row>
    <row r="59" spans="1:9" ht="13" hidden="1">
      <c r="A59" s="20" t="s">
        <v>64</v>
      </c>
      <c r="B59" s="20" t="s">
        <v>63</v>
      </c>
      <c r="C59" s="20" t="s">
        <v>62</v>
      </c>
      <c r="D59" s="20" t="s">
        <v>65</v>
      </c>
      <c r="E59" s="20" t="s">
        <v>25</v>
      </c>
      <c r="F59" s="21">
        <v>31.38</v>
      </c>
      <c r="G59" s="20" t="s">
        <v>26</v>
      </c>
      <c r="H59" s="20" t="s">
        <v>25</v>
      </c>
      <c r="I59" s="22">
        <v>16</v>
      </c>
    </row>
    <row r="60" spans="1:9" ht="14" hidden="1">
      <c r="A60" s="20" t="s">
        <v>64</v>
      </c>
      <c r="B60" s="20" t="s">
        <v>63</v>
      </c>
      <c r="C60" s="20" t="s">
        <v>62</v>
      </c>
      <c r="D60" s="20" t="s">
        <v>61</v>
      </c>
      <c r="E60" s="23" t="s">
        <v>60</v>
      </c>
      <c r="F60" s="21">
        <v>98.11</v>
      </c>
      <c r="G60" s="20" t="s">
        <v>26</v>
      </c>
      <c r="H60" s="20" t="s">
        <v>25</v>
      </c>
      <c r="I60" s="22">
        <v>40</v>
      </c>
    </row>
    <row r="61" spans="1:9" ht="13" hidden="1">
      <c r="A61" s="20" t="s">
        <v>52</v>
      </c>
      <c r="B61" s="20" t="s">
        <v>51</v>
      </c>
      <c r="C61" s="20" t="s">
        <v>50</v>
      </c>
      <c r="D61" s="20" t="s">
        <v>59</v>
      </c>
      <c r="E61" s="20" t="s">
        <v>57</v>
      </c>
      <c r="F61" s="21">
        <v>29.14</v>
      </c>
      <c r="G61" s="20" t="s">
        <v>26</v>
      </c>
      <c r="H61" s="20" t="s">
        <v>25</v>
      </c>
      <c r="I61" s="22">
        <v>10</v>
      </c>
    </row>
    <row r="62" spans="1:9" ht="13" hidden="1">
      <c r="A62" s="20" t="s">
        <v>52</v>
      </c>
      <c r="B62" s="20" t="s">
        <v>51</v>
      </c>
      <c r="C62" s="20" t="s">
        <v>50</v>
      </c>
      <c r="D62" s="20" t="s">
        <v>58</v>
      </c>
      <c r="E62" s="20" t="s">
        <v>57</v>
      </c>
      <c r="F62" s="21">
        <v>29.23</v>
      </c>
      <c r="G62" s="20" t="s">
        <v>26</v>
      </c>
      <c r="H62" s="20" t="s">
        <v>25</v>
      </c>
      <c r="I62" s="22">
        <v>16</v>
      </c>
    </row>
    <row r="63" spans="1:9" ht="13" hidden="1">
      <c r="A63" s="20" t="s">
        <v>52</v>
      </c>
      <c r="B63" s="20" t="s">
        <v>51</v>
      </c>
      <c r="C63" s="20" t="s">
        <v>50</v>
      </c>
      <c r="D63" s="20" t="s">
        <v>44</v>
      </c>
      <c r="E63" s="20" t="s">
        <v>25</v>
      </c>
      <c r="F63" s="21">
        <v>55.25</v>
      </c>
      <c r="G63" s="20" t="s">
        <v>26</v>
      </c>
      <c r="H63" s="20" t="s">
        <v>25</v>
      </c>
      <c r="I63" s="22">
        <v>25</v>
      </c>
    </row>
    <row r="64" spans="1:9" ht="13" hidden="1">
      <c r="A64" s="20" t="s">
        <v>52</v>
      </c>
      <c r="B64" s="20" t="s">
        <v>51</v>
      </c>
      <c r="C64" s="20" t="s">
        <v>50</v>
      </c>
      <c r="D64" s="20" t="s">
        <v>56</v>
      </c>
      <c r="E64" s="20" t="s">
        <v>25</v>
      </c>
      <c r="F64" s="21">
        <v>68.459999999999994</v>
      </c>
      <c r="G64" s="20" t="s">
        <v>26</v>
      </c>
      <c r="H64" s="20" t="s">
        <v>25</v>
      </c>
      <c r="I64" s="22">
        <v>40</v>
      </c>
    </row>
    <row r="65" spans="1:9" ht="13" hidden="1">
      <c r="A65" s="20" t="s">
        <v>52</v>
      </c>
      <c r="B65" s="20" t="s">
        <v>51</v>
      </c>
      <c r="C65" s="20" t="s">
        <v>50</v>
      </c>
      <c r="D65" s="20" t="s">
        <v>55</v>
      </c>
      <c r="E65" s="20" t="s">
        <v>25</v>
      </c>
      <c r="F65" s="21">
        <v>50.47</v>
      </c>
      <c r="G65" s="20" t="s">
        <v>26</v>
      </c>
      <c r="H65" s="20" t="s">
        <v>25</v>
      </c>
      <c r="I65" s="22">
        <v>25</v>
      </c>
    </row>
    <row r="66" spans="1:9" ht="13" hidden="1">
      <c r="A66" s="20" t="s">
        <v>52</v>
      </c>
      <c r="B66" s="20" t="s">
        <v>51</v>
      </c>
      <c r="C66" s="20" t="s">
        <v>50</v>
      </c>
      <c r="D66" s="20" t="s">
        <v>54</v>
      </c>
      <c r="E66" s="20" t="s">
        <v>25</v>
      </c>
      <c r="F66" s="21">
        <v>144.07</v>
      </c>
      <c r="G66" s="20" t="s">
        <v>26</v>
      </c>
      <c r="H66" s="20" t="s">
        <v>25</v>
      </c>
      <c r="I66" s="22">
        <v>77</v>
      </c>
    </row>
    <row r="67" spans="1:9" ht="13" hidden="1">
      <c r="A67" s="20" t="s">
        <v>52</v>
      </c>
      <c r="B67" s="20" t="s">
        <v>51</v>
      </c>
      <c r="C67" s="20" t="s">
        <v>50</v>
      </c>
      <c r="D67" s="20" t="s">
        <v>53</v>
      </c>
      <c r="E67" s="20" t="s">
        <v>25</v>
      </c>
      <c r="F67" s="21">
        <v>190.69</v>
      </c>
      <c r="G67" s="20" t="s">
        <v>26</v>
      </c>
      <c r="H67" s="20" t="s">
        <v>25</v>
      </c>
      <c r="I67" s="22">
        <v>169</v>
      </c>
    </row>
    <row r="68" spans="1:9" ht="13" hidden="1">
      <c r="A68" s="20" t="s">
        <v>52</v>
      </c>
      <c r="B68" s="20" t="s">
        <v>51</v>
      </c>
      <c r="C68" s="20" t="s">
        <v>50</v>
      </c>
      <c r="D68" s="20" t="s">
        <v>35</v>
      </c>
      <c r="E68" s="20" t="s">
        <v>27</v>
      </c>
      <c r="F68" s="21">
        <v>163.88</v>
      </c>
      <c r="G68" s="20" t="s">
        <v>26</v>
      </c>
      <c r="H68" s="20" t="s">
        <v>25</v>
      </c>
      <c r="I68" s="22">
        <v>70</v>
      </c>
    </row>
    <row r="69" spans="1:9" ht="13" hidden="1">
      <c r="A69" s="20" t="s">
        <v>52</v>
      </c>
      <c r="B69" s="20" t="s">
        <v>51</v>
      </c>
      <c r="C69" s="20" t="s">
        <v>50</v>
      </c>
      <c r="D69" s="20" t="s">
        <v>49</v>
      </c>
      <c r="E69" s="20" t="s">
        <v>25</v>
      </c>
      <c r="F69" s="21">
        <v>73.14</v>
      </c>
      <c r="G69" s="20" t="s">
        <v>26</v>
      </c>
      <c r="H69" s="20" t="s">
        <v>25</v>
      </c>
      <c r="I69" s="22">
        <v>40</v>
      </c>
    </row>
    <row r="70" spans="1:9" ht="13" hidden="1">
      <c r="A70" s="20" t="s">
        <v>48</v>
      </c>
      <c r="B70" s="20" t="s">
        <v>47</v>
      </c>
      <c r="C70" s="20" t="s">
        <v>46</v>
      </c>
      <c r="D70" s="20" t="s">
        <v>45</v>
      </c>
      <c r="E70" s="20" t="s">
        <v>25</v>
      </c>
      <c r="F70" s="21">
        <v>102.07</v>
      </c>
      <c r="G70" s="20" t="s">
        <v>26</v>
      </c>
      <c r="H70" s="20" t="s">
        <v>25</v>
      </c>
      <c r="I70" s="22">
        <v>60</v>
      </c>
    </row>
    <row r="71" spans="1:9" ht="26" hidden="1">
      <c r="A71" s="20" t="s">
        <v>31</v>
      </c>
      <c r="B71" s="20" t="s">
        <v>30</v>
      </c>
      <c r="C71" s="20" t="s">
        <v>29</v>
      </c>
      <c r="D71" s="20" t="s">
        <v>44</v>
      </c>
      <c r="E71" s="20" t="s">
        <v>43</v>
      </c>
      <c r="F71" s="21">
        <v>37.44</v>
      </c>
      <c r="G71" s="20" t="s">
        <v>42</v>
      </c>
      <c r="H71" s="20" t="s">
        <v>41</v>
      </c>
      <c r="I71" s="22">
        <v>20</v>
      </c>
    </row>
    <row r="72" spans="1:9" ht="13" hidden="1">
      <c r="A72" s="20" t="s">
        <v>31</v>
      </c>
      <c r="B72" s="20" t="s">
        <v>30</v>
      </c>
      <c r="C72" s="20" t="s">
        <v>29</v>
      </c>
      <c r="D72" s="20" t="s">
        <v>40</v>
      </c>
      <c r="E72" s="20" t="s">
        <v>25</v>
      </c>
      <c r="F72" s="21">
        <v>61.07</v>
      </c>
      <c r="G72" s="20" t="s">
        <v>26</v>
      </c>
      <c r="H72" s="20" t="s">
        <v>25</v>
      </c>
      <c r="I72" s="22">
        <v>30</v>
      </c>
    </row>
    <row r="73" spans="1:9" ht="13" hidden="1">
      <c r="A73" s="20" t="s">
        <v>31</v>
      </c>
      <c r="B73" s="20" t="s">
        <v>30</v>
      </c>
      <c r="C73" s="20" t="s">
        <v>29</v>
      </c>
      <c r="D73" s="20" t="s">
        <v>39</v>
      </c>
      <c r="E73" s="20" t="s">
        <v>25</v>
      </c>
      <c r="F73" s="21">
        <v>99.11</v>
      </c>
      <c r="G73" s="20" t="s">
        <v>26</v>
      </c>
      <c r="H73" s="20" t="s">
        <v>25</v>
      </c>
      <c r="I73" s="22">
        <v>69</v>
      </c>
    </row>
    <row r="74" spans="1:9" ht="13" hidden="1">
      <c r="A74" s="20" t="s">
        <v>31</v>
      </c>
      <c r="B74" s="20" t="s">
        <v>30</v>
      </c>
      <c r="C74" s="20" t="s">
        <v>29</v>
      </c>
      <c r="D74" s="20" t="s">
        <v>38</v>
      </c>
      <c r="E74" s="20" t="s">
        <v>25</v>
      </c>
      <c r="F74" s="21">
        <v>87.1</v>
      </c>
      <c r="G74" s="20" t="s">
        <v>26</v>
      </c>
      <c r="H74" s="20" t="s">
        <v>25</v>
      </c>
      <c r="I74" s="22">
        <v>64</v>
      </c>
    </row>
    <row r="75" spans="1:9" ht="13" hidden="1">
      <c r="A75" s="20" t="s">
        <v>31</v>
      </c>
      <c r="B75" s="20" t="s">
        <v>30</v>
      </c>
      <c r="C75" s="20" t="s">
        <v>29</v>
      </c>
      <c r="D75" s="20" t="s">
        <v>37</v>
      </c>
      <c r="E75" s="20" t="s">
        <v>25</v>
      </c>
      <c r="F75" s="21">
        <v>65.92</v>
      </c>
      <c r="G75" s="20" t="s">
        <v>26</v>
      </c>
      <c r="H75" s="20" t="s">
        <v>25</v>
      </c>
      <c r="I75" s="22">
        <v>35</v>
      </c>
    </row>
    <row r="76" spans="1:9" ht="13" hidden="1">
      <c r="A76" s="20" t="s">
        <v>31</v>
      </c>
      <c r="B76" s="20" t="s">
        <v>30</v>
      </c>
      <c r="C76" s="20" t="s">
        <v>29</v>
      </c>
      <c r="D76" s="20" t="s">
        <v>36</v>
      </c>
      <c r="E76" s="20" t="s">
        <v>25</v>
      </c>
      <c r="F76" s="21">
        <v>58.89</v>
      </c>
      <c r="G76" s="20" t="s">
        <v>26</v>
      </c>
      <c r="H76" s="20" t="s">
        <v>25</v>
      </c>
      <c r="I76" s="22">
        <v>30</v>
      </c>
    </row>
    <row r="77" spans="1:9" ht="13" hidden="1">
      <c r="A77" s="20" t="s">
        <v>31</v>
      </c>
      <c r="B77" s="20" t="s">
        <v>30</v>
      </c>
      <c r="C77" s="20" t="s">
        <v>29</v>
      </c>
      <c r="D77" s="20" t="s">
        <v>35</v>
      </c>
      <c r="E77" s="20" t="s">
        <v>25</v>
      </c>
      <c r="F77" s="21">
        <v>285.19</v>
      </c>
      <c r="G77" s="20" t="s">
        <v>26</v>
      </c>
      <c r="H77" s="20" t="s">
        <v>25</v>
      </c>
      <c r="I77" s="22">
        <v>193</v>
      </c>
    </row>
    <row r="78" spans="1:9" ht="13" hidden="1">
      <c r="A78" s="20" t="s">
        <v>31</v>
      </c>
      <c r="B78" s="20" t="s">
        <v>30</v>
      </c>
      <c r="C78" s="20" t="s">
        <v>29</v>
      </c>
      <c r="D78" s="20" t="s">
        <v>34</v>
      </c>
      <c r="E78" s="20" t="s">
        <v>25</v>
      </c>
      <c r="F78" s="21">
        <v>67.319999999999993</v>
      </c>
      <c r="G78" s="20" t="s">
        <v>26</v>
      </c>
      <c r="H78" s="20" t="s">
        <v>25</v>
      </c>
      <c r="I78" s="22">
        <v>35</v>
      </c>
    </row>
    <row r="79" spans="1:9" ht="13" hidden="1">
      <c r="A79" s="20" t="s">
        <v>31</v>
      </c>
      <c r="B79" s="20" t="s">
        <v>30</v>
      </c>
      <c r="C79" s="20" t="s">
        <v>29</v>
      </c>
      <c r="D79" s="20" t="s">
        <v>33</v>
      </c>
      <c r="E79" s="20" t="s">
        <v>25</v>
      </c>
      <c r="F79" s="21">
        <v>52.9</v>
      </c>
      <c r="G79" s="20" t="s">
        <v>26</v>
      </c>
      <c r="H79" s="20" t="s">
        <v>25</v>
      </c>
      <c r="I79" s="22">
        <v>30</v>
      </c>
    </row>
    <row r="80" spans="1:9" ht="13" hidden="1">
      <c r="A80" s="20" t="s">
        <v>31</v>
      </c>
      <c r="B80" s="20" t="s">
        <v>30</v>
      </c>
      <c r="C80" s="20" t="s">
        <v>29</v>
      </c>
      <c r="D80" s="20" t="s">
        <v>32</v>
      </c>
      <c r="E80" s="20" t="s">
        <v>25</v>
      </c>
      <c r="F80" s="21">
        <v>97.22</v>
      </c>
      <c r="G80" s="20" t="s">
        <v>26</v>
      </c>
      <c r="H80" s="20" t="s">
        <v>25</v>
      </c>
      <c r="I80" s="22">
        <v>60</v>
      </c>
    </row>
    <row r="81" spans="1:9" ht="13" hidden="1">
      <c r="A81" s="20" t="s">
        <v>31</v>
      </c>
      <c r="B81" s="20" t="s">
        <v>30</v>
      </c>
      <c r="C81" s="20" t="s">
        <v>29</v>
      </c>
      <c r="D81" s="20" t="s">
        <v>28</v>
      </c>
      <c r="E81" s="20" t="s">
        <v>27</v>
      </c>
      <c r="F81" s="21">
        <v>292.39999999999998</v>
      </c>
      <c r="G81" s="20" t="s">
        <v>26</v>
      </c>
      <c r="H81" s="20" t="s">
        <v>25</v>
      </c>
      <c r="I81" s="22">
        <v>100</v>
      </c>
    </row>
  </sheetData>
  <autoFilter ref="A3:I81" xr:uid="{C6869B9C-E927-3941-B748-A10214DDB83D}">
    <filterColumn colId="2">
      <filters>
        <filter val="관악 4동[신양학술정보관2]"/>
      </filters>
    </filterColumn>
  </autoFilter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예산진척 및 행사견적서</vt:lpstr>
      <vt:lpstr>예산진척</vt:lpstr>
      <vt:lpstr>참여인원</vt:lpstr>
      <vt:lpstr>예산(예상)</vt:lpstr>
      <vt:lpstr>식사 및 공간 정보</vt:lpstr>
      <vt:lpstr>인문대학 대여공간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한</dc:creator>
  <cp:lastModifiedBy>재원 한</cp:lastModifiedBy>
  <dcterms:created xsi:type="dcterms:W3CDTF">2024-09-10T07:48:35Z</dcterms:created>
  <dcterms:modified xsi:type="dcterms:W3CDTF">2024-11-25T04:32:38Z</dcterms:modified>
</cp:coreProperties>
</file>
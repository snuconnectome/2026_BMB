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sm\Downloads\"/>
    </mc:Choice>
  </mc:AlternateContent>
  <xr:revisionPtr revIDLastSave="0" documentId="13_ncr:1_{5CAD2BF6-C4D3-4256-A9E6-9A3A4E9AD6C2}" xr6:coauthVersionLast="47" xr6:coauthVersionMax="47" xr10:uidLastSave="{00000000-0000-0000-0000-000000000000}"/>
  <bookViews>
    <workbookView xWindow="14295" yWindow="0" windowWidth="14610" windowHeight="15585" tabRatio="908" firstSheet="7" activeTab="7" xr2:uid="{00000000-000D-0000-FFFF-FFFF00000000}"/>
  </bookViews>
  <sheets>
    <sheet name="Sheet1" sheetId="30" state="hidden" r:id="rId1"/>
    <sheet name="조정현황" sheetId="34" state="hidden" r:id="rId2"/>
    <sheet name="(출,교무과)첨단융합학부 및 학부대학 설립운영_편성내역" sheetId="25" state="hidden" r:id="rId3"/>
    <sheet name="(출)글로벌융합인재양성프로그램" sheetId="24" state="hidden" r:id="rId4"/>
    <sheet name="(출)지식나눔활성화" sheetId="6" state="hidden" r:id="rId5"/>
    <sheet name="(출,교무과)미래기초학문분야" sheetId="2" state="hidden" r:id="rId6"/>
    <sheet name="(출,학사과)디지털전환시대" sheetId="11" state="hidden" r:id="rId7"/>
    <sheet name="예산현황" sheetId="35" r:id="rId8"/>
    <sheet name="Sheet8" sheetId="44" state="hidden" r:id="rId9"/>
    <sheet name="Sheet2" sheetId="36" state="hidden" r:id="rId10"/>
    <sheet name="(수입대체)K-MOOC 운영" sheetId="12" state="hidden" r:id="rId11"/>
    <sheet name="(수입대체)K-MOOC 무크선도대학" sheetId="26" state="hidden" r:id="rId12"/>
    <sheet name="(수입대체)기초교육원운영" sheetId="8" state="hidden" r:id="rId13"/>
  </sheets>
  <definedNames>
    <definedName name="_xlnm._FilterDatabase" localSheetId="11" hidden="1">'(수입대체)K-MOOC 무크선도대학'!$A$2:$Q$5</definedName>
    <definedName name="_xlnm._FilterDatabase" localSheetId="10" hidden="1">'(수입대체)K-MOOC 운영'!$A$2:$R$8</definedName>
    <definedName name="_xlnm._FilterDatabase" localSheetId="3" hidden="1">'(출)글로벌융합인재양성프로그램'!$B$1:$Z$48</definedName>
    <definedName name="_xlnm._FilterDatabase" localSheetId="4" hidden="1">'(출)지식나눔활성화'!$A$1:$W$7</definedName>
    <definedName name="_xlnm._FilterDatabase" localSheetId="5" hidden="1">'(출,교무과)미래기초학문분야'!$B$1:$X$10</definedName>
    <definedName name="_xlnm._FilterDatabase" localSheetId="2" hidden="1">'(출,교무과)첨단융합학부 및 학부대학 설립운영_편성내역'!$A$1:$AC$73</definedName>
    <definedName name="_xlnm._FilterDatabase" localSheetId="6" hidden="1">'(출,학사과)디지털전환시대'!$A$1:$AA$20</definedName>
    <definedName name="_xlnm._FilterDatabase" localSheetId="7" hidden="1">예산현황!$A$3:$AP$4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" i="35" l="1"/>
  <c r="AF4" i="35"/>
  <c r="AL5" i="35"/>
  <c r="P5" i="35" l="1"/>
  <c r="O5" i="35" l="1"/>
  <c r="J4" i="35"/>
  <c r="K4" i="35" s="1"/>
  <c r="U4" i="35" l="1"/>
  <c r="T5" i="35" l="1"/>
  <c r="N5" i="35"/>
  <c r="S5" i="35"/>
  <c r="AO4" i="35" l="1"/>
  <c r="R5" i="35"/>
  <c r="M5" i="35"/>
  <c r="AO5" i="35" l="1"/>
  <c r="AN5" i="35"/>
  <c r="Q5" i="35"/>
  <c r="AH5" i="35" l="1"/>
  <c r="H5" i="35" l="1"/>
  <c r="I5" i="35"/>
  <c r="AG5" i="35"/>
  <c r="AF5" i="35"/>
  <c r="AI4" i="35" s="1"/>
  <c r="AD5" i="35"/>
  <c r="AC5" i="35"/>
  <c r="AB5" i="35"/>
  <c r="AA5" i="35"/>
  <c r="Z5" i="35"/>
  <c r="Y5" i="35"/>
  <c r="X5" i="35"/>
  <c r="W5" i="35"/>
  <c r="V5" i="35"/>
  <c r="L5" i="35"/>
  <c r="K5" i="35"/>
  <c r="X74" i="25"/>
  <c r="W74" i="25"/>
  <c r="V74" i="25"/>
  <c r="U74" i="25"/>
  <c r="T74" i="25"/>
  <c r="S74" i="25"/>
  <c r="R74" i="25"/>
  <c r="Q74" i="25"/>
  <c r="P74" i="25"/>
  <c r="O74" i="25"/>
  <c r="N74" i="25"/>
  <c r="M74" i="25"/>
  <c r="K74" i="25"/>
  <c r="J74" i="25"/>
  <c r="L57" i="25"/>
  <c r="L56" i="25"/>
  <c r="L55" i="25"/>
  <c r="L54" i="25"/>
  <c r="L53" i="25"/>
  <c r="L52" i="25"/>
  <c r="L51" i="25"/>
  <c r="L40" i="25"/>
  <c r="L39" i="25"/>
  <c r="L30" i="25"/>
  <c r="L29" i="25"/>
  <c r="L28" i="25"/>
  <c r="L27" i="25"/>
  <c r="L26" i="25"/>
  <c r="I14" i="25"/>
  <c r="L14" i="25" s="1"/>
  <c r="I73" i="25"/>
  <c r="L73" i="25" s="1"/>
  <c r="I4" i="25"/>
  <c r="L4" i="25" s="1"/>
  <c r="I5" i="25"/>
  <c r="L5" i="25" s="1"/>
  <c r="I6" i="25"/>
  <c r="L6" i="25" s="1"/>
  <c r="I7" i="25"/>
  <c r="L7" i="25" s="1"/>
  <c r="I8" i="25"/>
  <c r="L8" i="25" s="1"/>
  <c r="I9" i="25"/>
  <c r="L9" i="25" s="1"/>
  <c r="I10" i="25"/>
  <c r="L10" i="25" s="1"/>
  <c r="I11" i="25"/>
  <c r="L11" i="25" s="1"/>
  <c r="I12" i="25"/>
  <c r="L12" i="25" s="1"/>
  <c r="I13" i="25"/>
  <c r="L13" i="25" s="1"/>
  <c r="I15" i="25"/>
  <c r="L15" i="25" s="1"/>
  <c r="I16" i="25"/>
  <c r="L16" i="25" s="1"/>
  <c r="I17" i="25"/>
  <c r="L17" i="25" s="1"/>
  <c r="I18" i="25"/>
  <c r="L18" i="25" s="1"/>
  <c r="I19" i="25"/>
  <c r="L19" i="25" s="1"/>
  <c r="I20" i="25"/>
  <c r="L20" i="25" s="1"/>
  <c r="I21" i="25"/>
  <c r="L21" i="25" s="1"/>
  <c r="I22" i="25"/>
  <c r="L22" i="25" s="1"/>
  <c r="I23" i="25"/>
  <c r="L23" i="25" s="1"/>
  <c r="I24" i="25"/>
  <c r="L24" i="25" s="1"/>
  <c r="I25" i="25"/>
  <c r="L25" i="25" s="1"/>
  <c r="I26" i="25"/>
  <c r="I27" i="25"/>
  <c r="I28" i="25"/>
  <c r="I29" i="25"/>
  <c r="I30" i="25"/>
  <c r="I31" i="25"/>
  <c r="L31" i="25" s="1"/>
  <c r="I32" i="25"/>
  <c r="L32" i="25" s="1"/>
  <c r="I33" i="25"/>
  <c r="L33" i="25" s="1"/>
  <c r="I34" i="25"/>
  <c r="L34" i="25" s="1"/>
  <c r="I35" i="25"/>
  <c r="L35" i="25" s="1"/>
  <c r="I36" i="25"/>
  <c r="L36" i="25" s="1"/>
  <c r="I37" i="25"/>
  <c r="L37" i="25" s="1"/>
  <c r="I38" i="25"/>
  <c r="L38" i="25" s="1"/>
  <c r="I39" i="25"/>
  <c r="I40" i="25"/>
  <c r="I41" i="25"/>
  <c r="L41" i="25" s="1"/>
  <c r="I42" i="25"/>
  <c r="L42" i="25" s="1"/>
  <c r="I43" i="25"/>
  <c r="L43" i="25" s="1"/>
  <c r="I44" i="25"/>
  <c r="L44" i="25" s="1"/>
  <c r="I45" i="25"/>
  <c r="L45" i="25" s="1"/>
  <c r="I46" i="25"/>
  <c r="L46" i="25" s="1"/>
  <c r="I47" i="25"/>
  <c r="L47" i="25" s="1"/>
  <c r="I48" i="25"/>
  <c r="L48" i="25" s="1"/>
  <c r="I49" i="25"/>
  <c r="L49" i="25" s="1"/>
  <c r="I50" i="25"/>
  <c r="L50" i="25" s="1"/>
  <c r="I51" i="25"/>
  <c r="I52" i="25"/>
  <c r="I53" i="25"/>
  <c r="I54" i="25"/>
  <c r="I55" i="25"/>
  <c r="I56" i="25"/>
  <c r="I57" i="25"/>
  <c r="I58" i="25"/>
  <c r="L58" i="25" s="1"/>
  <c r="I59" i="25"/>
  <c r="L59" i="25" s="1"/>
  <c r="I60" i="25"/>
  <c r="L60" i="25" s="1"/>
  <c r="I61" i="25"/>
  <c r="L61" i="25" s="1"/>
  <c r="I62" i="25"/>
  <c r="L62" i="25" s="1"/>
  <c r="I63" i="25"/>
  <c r="L63" i="25" s="1"/>
  <c r="I64" i="25"/>
  <c r="L64" i="25" s="1"/>
  <c r="I65" i="25"/>
  <c r="L65" i="25" s="1"/>
  <c r="I66" i="25"/>
  <c r="L66" i="25" s="1"/>
  <c r="I67" i="25"/>
  <c r="L67" i="25" s="1"/>
  <c r="I68" i="25"/>
  <c r="L68" i="25" s="1"/>
  <c r="I69" i="25"/>
  <c r="L69" i="25" s="1"/>
  <c r="I70" i="25"/>
  <c r="L70" i="25" s="1"/>
  <c r="I71" i="25"/>
  <c r="L71" i="25" s="1"/>
  <c r="I72" i="25"/>
  <c r="L72" i="25" s="1"/>
  <c r="I3" i="25"/>
  <c r="L3" i="25" s="1"/>
  <c r="D22" i="34"/>
  <c r="C22" i="34"/>
  <c r="B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2" i="34" s="1"/>
  <c r="F2" i="34"/>
  <c r="AK4" i="35" l="1"/>
  <c r="AJ4" i="35"/>
  <c r="AE5" i="35"/>
  <c r="AI5" i="35" s="1"/>
  <c r="L74" i="25"/>
  <c r="I74" i="25"/>
  <c r="U5" i="35"/>
  <c r="J5" i="35"/>
  <c r="E21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" i="34"/>
  <c r="AM4" i="35" l="1"/>
  <c r="AM5" i="35" s="1"/>
  <c r="AJ5" i="35"/>
  <c r="AK5" i="35"/>
  <c r="E22" i="34"/>
  <c r="G74" i="25"/>
  <c r="F74" i="25" l="1"/>
  <c r="C4" i="25" l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6" i="25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38" i="25"/>
  <c r="C39" i="25" s="1"/>
  <c r="C40" i="25" s="1"/>
  <c r="C41" i="25" s="1"/>
  <c r="C43" i="25"/>
  <c r="C44" i="25" s="1"/>
  <c r="C45" i="25" s="1"/>
  <c r="C47" i="25"/>
  <c r="C48" i="25" s="1"/>
  <c r="C49" i="25" s="1"/>
  <c r="C50" i="25" s="1"/>
  <c r="C52" i="25" s="1"/>
  <c r="C54" i="25"/>
  <c r="C55" i="25" s="1"/>
  <c r="C57" i="25"/>
  <c r="C59" i="25"/>
  <c r="C60" i="25" s="1"/>
  <c r="C61" i="25" s="1"/>
  <c r="C62" i="25" s="1"/>
  <c r="C64" i="25"/>
  <c r="C65" i="25" s="1"/>
  <c r="C66" i="25" s="1"/>
  <c r="C67" i="25" s="1"/>
  <c r="C68" i="25" s="1"/>
  <c r="J20" i="11" l="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E21" i="11"/>
  <c r="G21" i="11"/>
  <c r="H21" i="11"/>
  <c r="I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0" i="11"/>
  <c r="Y20" i="11" l="1"/>
  <c r="X20" i="11"/>
  <c r="J3" i="11" l="1"/>
  <c r="T6" i="6"/>
  <c r="G6" i="6"/>
  <c r="J21" i="11" l="1"/>
  <c r="U6" i="6"/>
  <c r="V6" i="6"/>
  <c r="M8" i="12" l="1"/>
  <c r="J5" i="26" l="1"/>
  <c r="G10" i="2" l="1"/>
  <c r="G9" i="2"/>
  <c r="G8" i="2"/>
  <c r="G7" i="2"/>
  <c r="G6" i="2"/>
  <c r="G5" i="2"/>
  <c r="G4" i="2"/>
  <c r="G3" i="2"/>
  <c r="W17" i="11" l="1"/>
  <c r="W16" i="11"/>
  <c r="W15" i="11"/>
  <c r="E8" i="6" l="1"/>
  <c r="D3" i="12" l="1"/>
  <c r="D4" i="12"/>
  <c r="D5" i="12"/>
  <c r="D6" i="12"/>
  <c r="D7" i="12"/>
  <c r="G3" i="6" l="1"/>
  <c r="G4" i="6"/>
  <c r="G5" i="6"/>
  <c r="G7" i="6"/>
  <c r="L6" i="8" l="1"/>
  <c r="K6" i="8"/>
  <c r="J6" i="8"/>
  <c r="I6" i="8"/>
  <c r="H6" i="8"/>
  <c r="G6" i="8"/>
  <c r="F6" i="8"/>
  <c r="F5" i="26"/>
  <c r="G8" i="12"/>
  <c r="F8" i="12"/>
  <c r="M4" i="8" l="1"/>
  <c r="D4" i="8"/>
  <c r="O4" i="8" l="1"/>
  <c r="N4" i="8"/>
  <c r="X4" i="11"/>
  <c r="W47" i="24" l="1"/>
  <c r="I47" i="24"/>
  <c r="W43" i="24"/>
  <c r="I43" i="24"/>
  <c r="W22" i="24"/>
  <c r="I22" i="24"/>
  <c r="X47" i="24" l="1"/>
  <c r="X43" i="24"/>
  <c r="X22" i="24"/>
  <c r="Y47" i="24"/>
  <c r="Y43" i="24"/>
  <c r="Y22" i="24"/>
  <c r="T7" i="6" l="1"/>
  <c r="V7" i="6" s="1"/>
  <c r="U7" i="6" l="1"/>
  <c r="D5" i="8" l="1"/>
  <c r="D3" i="8"/>
  <c r="W14" i="11" l="1"/>
  <c r="W13" i="11"/>
  <c r="W6" i="11"/>
  <c r="W3" i="11"/>
  <c r="W21" i="11" s="1"/>
  <c r="Y21" i="11" s="1"/>
  <c r="X6" i="11" l="1"/>
  <c r="X13" i="11"/>
  <c r="X3" i="11"/>
  <c r="X17" i="11"/>
  <c r="X15" i="11"/>
  <c r="X14" i="11"/>
  <c r="X16" i="11"/>
  <c r="Y13" i="11"/>
  <c r="Y15" i="11"/>
  <c r="Y16" i="11"/>
  <c r="Y6" i="11"/>
  <c r="Y3" i="11"/>
  <c r="Y17" i="11"/>
  <c r="Y14" i="11"/>
  <c r="X21" i="11" l="1"/>
  <c r="F11" i="2"/>
  <c r="U4" i="2"/>
  <c r="U5" i="2"/>
  <c r="U6" i="2"/>
  <c r="U7" i="2"/>
  <c r="U8" i="2"/>
  <c r="U9" i="2"/>
  <c r="W9" i="2" s="1"/>
  <c r="U10" i="2"/>
  <c r="W5" i="2" l="1"/>
  <c r="W7" i="2"/>
  <c r="W10" i="2"/>
  <c r="W4" i="2"/>
  <c r="V4" i="2"/>
  <c r="W6" i="2"/>
  <c r="V5" i="2"/>
  <c r="W8" i="2"/>
  <c r="V10" i="2"/>
  <c r="V9" i="2"/>
  <c r="V8" i="2"/>
  <c r="V7" i="2"/>
  <c r="V6" i="2"/>
  <c r="W48" i="24"/>
  <c r="W46" i="24"/>
  <c r="W45" i="24"/>
  <c r="W44" i="24"/>
  <c r="W42" i="24"/>
  <c r="W41" i="24"/>
  <c r="W40" i="24"/>
  <c r="W39" i="24"/>
  <c r="W38" i="24"/>
  <c r="W37" i="24"/>
  <c r="W36" i="24"/>
  <c r="W35" i="24"/>
  <c r="W34" i="24"/>
  <c r="W33" i="24"/>
  <c r="W32" i="24"/>
  <c r="W31" i="24"/>
  <c r="W30" i="24"/>
  <c r="W29" i="24"/>
  <c r="W28" i="24"/>
  <c r="W27" i="24"/>
  <c r="W26" i="24"/>
  <c r="W25" i="24"/>
  <c r="W24" i="24"/>
  <c r="W23" i="24"/>
  <c r="W21" i="24"/>
  <c r="W20" i="24"/>
  <c r="W19" i="24"/>
  <c r="W18" i="24"/>
  <c r="W17" i="24"/>
  <c r="W16" i="24"/>
  <c r="W15" i="24"/>
  <c r="W14" i="24"/>
  <c r="W13" i="24"/>
  <c r="W12" i="24"/>
  <c r="W11" i="24"/>
  <c r="W10" i="24"/>
  <c r="W9" i="24"/>
  <c r="W8" i="24"/>
  <c r="W7" i="24"/>
  <c r="W6" i="24"/>
  <c r="W5" i="24"/>
  <c r="W4" i="24"/>
  <c r="W3" i="24"/>
  <c r="I8" i="24"/>
  <c r="I7" i="24"/>
  <c r="I6" i="24"/>
  <c r="I5" i="24"/>
  <c r="I48" i="24"/>
  <c r="I13" i="24"/>
  <c r="M5" i="26"/>
  <c r="L5" i="26"/>
  <c r="K5" i="26"/>
  <c r="I5" i="26"/>
  <c r="H5" i="26"/>
  <c r="G5" i="26"/>
  <c r="E5" i="26"/>
  <c r="D5" i="26"/>
  <c r="C5" i="26"/>
  <c r="N4" i="26"/>
  <c r="P4" i="26" s="1"/>
  <c r="N3" i="26"/>
  <c r="P3" i="26" s="1"/>
  <c r="O6" i="12"/>
  <c r="P6" i="12" s="1"/>
  <c r="O5" i="12"/>
  <c r="P5" i="12" s="1"/>
  <c r="D8" i="12"/>
  <c r="C8" i="12"/>
  <c r="C6" i="8"/>
  <c r="X48" i="24" l="1"/>
  <c r="Q6" i="12"/>
  <c r="Y5" i="24"/>
  <c r="Y8" i="24"/>
  <c r="Y13" i="24"/>
  <c r="X7" i="24"/>
  <c r="Y6" i="24"/>
  <c r="Y48" i="24"/>
  <c r="X5" i="24"/>
  <c r="X6" i="24"/>
  <c r="X13" i="24"/>
  <c r="X8" i="24"/>
  <c r="O4" i="26"/>
  <c r="N5" i="26"/>
  <c r="P5" i="26" s="1"/>
  <c r="O3" i="26"/>
  <c r="O5" i="26" l="1"/>
  <c r="Y7" i="24"/>
  <c r="C24" i="8"/>
  <c r="B24" i="8"/>
  <c r="T4" i="6" l="1"/>
  <c r="S8" i="6"/>
  <c r="V4" i="6" l="1"/>
  <c r="U4" i="6"/>
  <c r="E6" i="8"/>
  <c r="B6" i="8" l="1"/>
  <c r="N8" i="6" l="1"/>
  <c r="H49" i="24" l="1"/>
  <c r="I46" i="24" l="1"/>
  <c r="X46" i="24" l="1"/>
  <c r="Y46" i="24"/>
  <c r="G49" i="24"/>
  <c r="T5" i="6"/>
  <c r="F8" i="6"/>
  <c r="V5" i="6" l="1"/>
  <c r="U5" i="6"/>
  <c r="Y74" i="25" l="1"/>
  <c r="AA74" i="25" l="1"/>
  <c r="Z74" i="25"/>
  <c r="I45" i="24" l="1"/>
  <c r="I44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1" i="24"/>
  <c r="I20" i="24"/>
  <c r="I19" i="24"/>
  <c r="I18" i="24"/>
  <c r="I17" i="24"/>
  <c r="I16" i="24"/>
  <c r="I15" i="24"/>
  <c r="I14" i="24"/>
  <c r="I12" i="24"/>
  <c r="I11" i="24"/>
  <c r="I10" i="24"/>
  <c r="I9" i="24"/>
  <c r="I4" i="24"/>
  <c r="I3" i="24"/>
  <c r="E49" i="24"/>
  <c r="X33" i="24" l="1"/>
  <c r="Y33" i="24"/>
  <c r="X31" i="24"/>
  <c r="Y31" i="24"/>
  <c r="Y38" i="24"/>
  <c r="X38" i="24"/>
  <c r="X16" i="24"/>
  <c r="Y16" i="24"/>
  <c r="X18" i="24"/>
  <c r="Y18" i="24"/>
  <c r="Y20" i="24"/>
  <c r="X20" i="24"/>
  <c r="X9" i="24"/>
  <c r="Y9" i="24"/>
  <c r="Y34" i="24"/>
  <c r="X34" i="24"/>
  <c r="Y37" i="24"/>
  <c r="X37" i="24"/>
  <c r="Y10" i="24"/>
  <c r="X10" i="24"/>
  <c r="X17" i="24"/>
  <c r="Y17" i="24"/>
  <c r="Y35" i="24"/>
  <c r="X35" i="24"/>
  <c r="Y21" i="24"/>
  <c r="X21" i="24"/>
  <c r="X39" i="24"/>
  <c r="Y39" i="24"/>
  <c r="Y40" i="24"/>
  <c r="X40" i="24"/>
  <c r="Y4" i="24"/>
  <c r="X4" i="24"/>
  <c r="X27" i="24"/>
  <c r="Y27" i="24"/>
  <c r="Y45" i="24"/>
  <c r="X45" i="24"/>
  <c r="X15" i="24"/>
  <c r="Y15" i="24"/>
  <c r="Y19" i="24"/>
  <c r="X19" i="24"/>
  <c r="Y36" i="24"/>
  <c r="X36" i="24"/>
  <c r="X23" i="24"/>
  <c r="Y23" i="24"/>
  <c r="Y24" i="24"/>
  <c r="X24" i="24"/>
  <c r="Y25" i="24"/>
  <c r="X25" i="24"/>
  <c r="X26" i="24"/>
  <c r="Y26" i="24"/>
  <c r="X44" i="24"/>
  <c r="Y44" i="24"/>
  <c r="X32" i="24"/>
  <c r="Y32" i="24"/>
  <c r="X41" i="24"/>
  <c r="Y41" i="24"/>
  <c r="X42" i="24"/>
  <c r="Y42" i="24"/>
  <c r="X28" i="24"/>
  <c r="Y28" i="24"/>
  <c r="X11" i="24"/>
  <c r="Y11" i="24"/>
  <c r="X29" i="24"/>
  <c r="Y29" i="24"/>
  <c r="Y12" i="24"/>
  <c r="X12" i="24"/>
  <c r="Y14" i="24"/>
  <c r="X14" i="24"/>
  <c r="Y30" i="24"/>
  <c r="X30" i="24"/>
  <c r="F49" i="24"/>
  <c r="G11" i="2" l="1"/>
  <c r="V49" i="24"/>
  <c r="U49" i="24"/>
  <c r="T49" i="24"/>
  <c r="S49" i="24"/>
  <c r="R49" i="24"/>
  <c r="Q49" i="24"/>
  <c r="P49" i="24"/>
  <c r="O49" i="24"/>
  <c r="N49" i="24"/>
  <c r="M49" i="24"/>
  <c r="L49" i="24"/>
  <c r="K49" i="24"/>
  <c r="I49" i="24" l="1"/>
  <c r="W49" i="24"/>
  <c r="Y3" i="24"/>
  <c r="X3" i="24"/>
  <c r="Y49" i="24" l="1"/>
  <c r="X49" i="24"/>
  <c r="T11" i="2"/>
  <c r="E11" i="2" l="1"/>
  <c r="M5" i="8" l="1"/>
  <c r="N5" i="8" s="1"/>
  <c r="M3" i="8"/>
  <c r="N3" i="8" s="1"/>
  <c r="D6" i="8"/>
  <c r="U3" i="2"/>
  <c r="H8" i="12"/>
  <c r="I8" i="12"/>
  <c r="J8" i="12"/>
  <c r="K8" i="12"/>
  <c r="L8" i="12"/>
  <c r="N8" i="12"/>
  <c r="E8" i="12"/>
  <c r="O7" i="12"/>
  <c r="O4" i="12"/>
  <c r="Q5" i="12"/>
  <c r="O3" i="12"/>
  <c r="I11" i="2"/>
  <c r="T3" i="6"/>
  <c r="H8" i="6"/>
  <c r="I8" i="6"/>
  <c r="J8" i="6"/>
  <c r="K8" i="6"/>
  <c r="L8" i="6"/>
  <c r="M8" i="6"/>
  <c r="O8" i="6"/>
  <c r="P8" i="6"/>
  <c r="Q8" i="6"/>
  <c r="R8" i="6"/>
  <c r="J11" i="2"/>
  <c r="K11" i="2"/>
  <c r="L11" i="2"/>
  <c r="M11" i="2"/>
  <c r="N11" i="2"/>
  <c r="O11" i="2"/>
  <c r="P11" i="2"/>
  <c r="Q11" i="2"/>
  <c r="R11" i="2"/>
  <c r="S11" i="2"/>
  <c r="Q7" i="12" l="1"/>
  <c r="P7" i="12"/>
  <c r="Q4" i="12"/>
  <c r="P4" i="12"/>
  <c r="P3" i="12"/>
  <c r="O8" i="12"/>
  <c r="Q8" i="12" s="1"/>
  <c r="V3" i="6"/>
  <c r="U3" i="6"/>
  <c r="V3" i="2"/>
  <c r="W3" i="2"/>
  <c r="G8" i="6"/>
  <c r="U11" i="2"/>
  <c r="W11" i="2" s="1"/>
  <c r="O3" i="8"/>
  <c r="O5" i="8"/>
  <c r="M6" i="8"/>
  <c r="N6" i="8" s="1"/>
  <c r="Q3" i="12"/>
  <c r="T8" i="6"/>
  <c r="P8" i="12" l="1"/>
  <c r="U8" i="6"/>
  <c r="V8" i="6"/>
  <c r="O6" i="8"/>
  <c r="V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편성내역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편성내역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편성내역</t>
        </r>
      </text>
    </comment>
    <comment ref="F2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담당부서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교원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사용자</author>
  </authors>
  <commentList>
    <comment ref="I1" authorId="0" shapeId="0" xr:uid="{2DF9E858-500B-4643-BE15-01C06A8DDD16}">
      <text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배정예산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70%</t>
        </r>
      </text>
    </comment>
    <comment ref="E42" authorId="1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교육지원비로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F53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1,000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증액</t>
        </r>
      </text>
    </comment>
    <comment ref="F55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1,000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R3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연구비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송지연</t>
        </r>
        <r>
          <rPr>
            <b/>
            <sz val="9"/>
            <color indexed="81"/>
            <rFont val="Tahoma"/>
            <family val="2"/>
          </rPr>
          <t>, -6,047,350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J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지출분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과목정정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D62E7657-F0E0-4C1B-8FE5-54C2D97E840E}">
      <text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배정예산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70%
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T1" authorId="0" shapeId="0" xr:uid="{5FBB9B98-1C2B-406D-B087-DD9BC799141D}">
      <text>
        <r>
          <rPr>
            <b/>
            <sz val="9"/>
            <color indexed="81"/>
            <rFont val="Tahoma"/>
            <family val="2"/>
          </rPr>
          <t xml:space="preserve">2025. 9. </t>
        </r>
        <r>
          <rPr>
            <b/>
            <sz val="9"/>
            <color indexed="81"/>
            <rFont val="돋움"/>
            <family val="3"/>
            <charset val="129"/>
          </rPr>
          <t>반납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법인회계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세출예산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기초자료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<sst xmlns="http://schemas.openxmlformats.org/spreadsheetml/2006/main" count="2636" uniqueCount="529">
  <si>
    <t>예산과목</t>
  </si>
  <si>
    <t>3월</t>
    <phoneticPr fontId="20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</si>
  <si>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</si>
  <si>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</si>
  <si>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</si>
  <si>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</si>
  <si>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</si>
  <si>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</si>
  <si>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</si>
  <si>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</si>
  <si>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</si>
  <si>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</si>
  <si>
    <t>2월</t>
  </si>
  <si>
    <t>비고</t>
    <phoneticPr fontId="20" type="noConversion"/>
  </si>
  <si>
    <t>지출액</t>
    <phoneticPr fontId="20" type="noConversion"/>
  </si>
  <si>
    <t>집행총액
(b)</t>
    <phoneticPr fontId="20" type="noConversion"/>
  </si>
  <si>
    <t>잔액
(a-b)</t>
    <phoneticPr fontId="20" type="noConversion"/>
  </si>
  <si>
    <t>집행률
(b/a)</t>
    <phoneticPr fontId="20" type="noConversion"/>
  </si>
  <si>
    <t>프로그램명_담당자</t>
    <phoneticPr fontId="20" type="noConversion"/>
  </si>
  <si>
    <t>배정예산
(a)</t>
    <phoneticPr fontId="20" type="noConversion"/>
  </si>
  <si>
    <t>기타학생경비</t>
    <phoneticPr fontId="20" type="noConversion"/>
  </si>
  <si>
    <t>일반용역비</t>
    <phoneticPr fontId="20" type="noConversion"/>
  </si>
  <si>
    <t>연구개발비</t>
    <phoneticPr fontId="20" type="noConversion"/>
  </si>
  <si>
    <t>계</t>
    <phoneticPr fontId="20" type="noConversion"/>
  </si>
  <si>
    <t>계</t>
    <phoneticPr fontId="20" type="noConversion"/>
  </si>
  <si>
    <t>비고</t>
    <phoneticPr fontId="20" type="noConversion"/>
  </si>
  <si>
    <t>계</t>
    <phoneticPr fontId="20" type="noConversion"/>
  </si>
  <si>
    <t>계</t>
    <phoneticPr fontId="20" type="noConversion"/>
  </si>
  <si>
    <t>계</t>
    <phoneticPr fontId="20" type="noConversion"/>
  </si>
  <si>
    <t>기계비품</t>
    <phoneticPr fontId="20" type="noConversion"/>
  </si>
  <si>
    <t>기타운영비</t>
    <phoneticPr fontId="20" type="noConversion"/>
  </si>
  <si>
    <t>합계</t>
    <phoneticPr fontId="20" type="noConversion"/>
  </si>
  <si>
    <t>지출액</t>
    <phoneticPr fontId="20" type="noConversion"/>
  </si>
  <si>
    <t>세입액</t>
    <phoneticPr fontId="20" type="noConversion"/>
  </si>
  <si>
    <t>예산과목</t>
    <phoneticPr fontId="20" type="noConversion"/>
  </si>
  <si>
    <t>지출액</t>
    <phoneticPr fontId="20" type="noConversion"/>
  </si>
  <si>
    <t>비고</t>
    <phoneticPr fontId="20" type="noConversion"/>
  </si>
  <si>
    <t>3월</t>
    <phoneticPr fontId="20" type="noConversion"/>
  </si>
  <si>
    <t>2월</t>
    <phoneticPr fontId="20" type="noConversion"/>
  </si>
  <si>
    <t>집행총액
(D)</t>
    <phoneticPr fontId="20" type="noConversion"/>
  </si>
  <si>
    <t>잔액
(C-D)</t>
    <phoneticPr fontId="20" type="noConversion"/>
  </si>
  <si>
    <t>집행률
(D/C)</t>
    <phoneticPr fontId="20" type="noConversion"/>
  </si>
  <si>
    <t>집행내역</t>
    <phoneticPr fontId="20" type="noConversion"/>
  </si>
  <si>
    <t>기타학생경비</t>
  </si>
  <si>
    <t>연구개발비</t>
  </si>
  <si>
    <t>기타운영비</t>
  </si>
  <si>
    <t>교육지원비</t>
  </si>
  <si>
    <t>3월</t>
    <phoneticPr fontId="20" type="noConversion"/>
  </si>
  <si>
    <t>4월</t>
    <phoneticPr fontId="20" type="noConversion"/>
  </si>
  <si>
    <t>총 배정예산</t>
    <phoneticPr fontId="20" type="noConversion"/>
  </si>
  <si>
    <t>집행총액
(D)</t>
    <phoneticPr fontId="20" type="noConversion"/>
  </si>
  <si>
    <t>잔액
(C-D)</t>
    <phoneticPr fontId="20" type="noConversion"/>
  </si>
  <si>
    <t>집행률
(D/C)</t>
    <phoneticPr fontId="20" type="noConversion"/>
  </si>
  <si>
    <t>총 배정예산
(A)</t>
    <phoneticPr fontId="20" type="noConversion"/>
  </si>
  <si>
    <t>집행총액
(D)</t>
    <phoneticPr fontId="20" type="noConversion"/>
  </si>
  <si>
    <t>잔액
(C-D)</t>
    <phoneticPr fontId="20" type="noConversion"/>
  </si>
  <si>
    <t>최초배정액</t>
    <phoneticPr fontId="20" type="noConversion"/>
  </si>
  <si>
    <t>1차 배정액
(A)</t>
  </si>
  <si>
    <t>프로그램간 예산조정</t>
    <phoneticPr fontId="20" type="noConversion"/>
  </si>
  <si>
    <t>계</t>
    <phoneticPr fontId="20" type="noConversion"/>
  </si>
  <si>
    <t>집행내역</t>
    <phoneticPr fontId="20" type="noConversion"/>
  </si>
  <si>
    <t>8월</t>
    <phoneticPr fontId="20" type="noConversion"/>
  </si>
  <si>
    <t>8월</t>
    <phoneticPr fontId="20" type="noConversion"/>
  </si>
  <si>
    <t>전용후 예산현액
(D=A+B+C)</t>
    <phoneticPr fontId="20" type="noConversion"/>
  </si>
  <si>
    <t>집행총액
(E)</t>
    <phoneticPr fontId="20" type="noConversion"/>
  </si>
  <si>
    <t>잔액
(D-E)</t>
    <phoneticPr fontId="20" type="noConversion"/>
  </si>
  <si>
    <t>집행률
(E/D)</t>
    <phoneticPr fontId="20" type="noConversion"/>
  </si>
  <si>
    <t>9월</t>
    <phoneticPr fontId="20" type="noConversion"/>
  </si>
  <si>
    <t>2차 배정액
(B)</t>
    <phoneticPr fontId="20" type="noConversion"/>
  </si>
  <si>
    <t>수익액</t>
    <phoneticPr fontId="20" type="noConversion"/>
  </si>
  <si>
    <t>계</t>
    <phoneticPr fontId="20" type="noConversion"/>
  </si>
  <si>
    <t>전용(조정)요청액
(B1)</t>
    <phoneticPr fontId="20" type="noConversion"/>
  </si>
  <si>
    <t>조정 사유 및 산출내역 (단위: 원)</t>
    <phoneticPr fontId="20" type="noConversion"/>
  </si>
  <si>
    <t>예산현액
(a)</t>
    <phoneticPr fontId="20" type="noConversion"/>
  </si>
  <si>
    <t>배정액</t>
    <phoneticPr fontId="20" type="noConversion"/>
  </si>
  <si>
    <t>K-MOOC 운영_김영혜</t>
    <phoneticPr fontId="20" type="noConversion"/>
  </si>
  <si>
    <t>K-MOOC 무크선도대학</t>
    <phoneticPr fontId="20" type="noConversion"/>
  </si>
  <si>
    <t>교육지원비</t>
    <phoneticPr fontId="20" type="noConversion"/>
  </si>
  <si>
    <t>기타운영비</t>
    <phoneticPr fontId="20" type="noConversion"/>
  </si>
  <si>
    <t>3월</t>
    <phoneticPr fontId="20" type="noConversion"/>
  </si>
  <si>
    <t>4월</t>
    <phoneticPr fontId="20" type="noConversion"/>
  </si>
  <si>
    <t>5월</t>
    <phoneticPr fontId="20" type="noConversion"/>
  </si>
  <si>
    <t>6월</t>
    <phoneticPr fontId="20" type="noConversion"/>
  </si>
  <si>
    <t>7월</t>
    <phoneticPr fontId="20" type="noConversion"/>
  </si>
  <si>
    <t>8월</t>
    <phoneticPr fontId="20" type="noConversion"/>
  </si>
  <si>
    <t>월별 집행액</t>
    <phoneticPr fontId="20" type="noConversion"/>
  </si>
  <si>
    <t>기계비품</t>
  </si>
  <si>
    <t>전용요청액
(B)</t>
    <phoneticPr fontId="20" type="noConversion"/>
  </si>
  <si>
    <t>전용후 예산현액
(C=A+B)</t>
    <phoneticPr fontId="20" type="noConversion"/>
  </si>
  <si>
    <t>기타학생경비</t>
    <phoneticPr fontId="20" type="noConversion"/>
  </si>
  <si>
    <t>2차 배정액
(A2)</t>
    <phoneticPr fontId="20" type="noConversion"/>
  </si>
  <si>
    <t>1차 배정액
(A1)</t>
    <phoneticPr fontId="20" type="noConversion"/>
  </si>
  <si>
    <t>연구개발비</t>
    <phoneticPr fontId="20" type="noConversion"/>
  </si>
  <si>
    <t>교육지원비</t>
    <phoneticPr fontId="20" type="noConversion"/>
  </si>
  <si>
    <t>연구개발비</t>
    <phoneticPr fontId="20" type="noConversion"/>
  </si>
  <si>
    <t>연구개발비</t>
    <phoneticPr fontId="20" type="noConversion"/>
  </si>
  <si>
    <t>기타학생경비</t>
    <phoneticPr fontId="20" type="noConversion"/>
  </si>
  <si>
    <t>기타운영비</t>
    <phoneticPr fontId="20" type="noConversion"/>
  </si>
  <si>
    <t>일반용역비</t>
    <phoneticPr fontId="20" type="noConversion"/>
  </si>
  <si>
    <t>총 배정예산</t>
    <phoneticPr fontId="20" type="noConversion"/>
  </si>
  <si>
    <t>일반용역비</t>
  </si>
  <si>
    <t>건축물관리비</t>
  </si>
  <si>
    <t>1차 배정액
(A)</t>
    <phoneticPr fontId="20" type="noConversion"/>
  </si>
  <si>
    <t>전용액</t>
    <phoneticPr fontId="20" type="noConversion"/>
  </si>
  <si>
    <t>전용(조정)요청액
(C)</t>
    <phoneticPr fontId="20" type="noConversion"/>
  </si>
  <si>
    <t>소모품비</t>
  </si>
  <si>
    <t>회의비</t>
  </si>
  <si>
    <t>교수역량 강화 지원_김진호</t>
    <phoneticPr fontId="20" type="noConversion"/>
  </si>
  <si>
    <t>교수역량 강화 지원_김진호</t>
    <phoneticPr fontId="20" type="noConversion"/>
  </si>
  <si>
    <t>교수역량 강화 지원_김진호</t>
    <phoneticPr fontId="20" type="noConversion"/>
  </si>
  <si>
    <t>학습자 참여형 온라인 수업설계 지원_허성</t>
    <phoneticPr fontId="20" type="noConversion"/>
  </si>
  <si>
    <t>수학 수준별 교육 실현_송진경</t>
    <phoneticPr fontId="20" type="noConversion"/>
  </si>
  <si>
    <t>학생 요구 반영 교육과정 개발 및 운영_유윤애</t>
    <phoneticPr fontId="20" type="noConversion"/>
  </si>
  <si>
    <t>최초배정액
(a)</t>
    <phoneticPr fontId="20" type="noConversion"/>
  </si>
  <si>
    <t>회의비</t>
    <phoneticPr fontId="20" type="noConversion"/>
  </si>
  <si>
    <t>5월</t>
    <phoneticPr fontId="20" type="noConversion"/>
  </si>
  <si>
    <t>6월</t>
    <phoneticPr fontId="20" type="noConversion"/>
  </si>
  <si>
    <t>배정예산
(d=a+b+c)</t>
    <phoneticPr fontId="20" type="noConversion"/>
  </si>
  <si>
    <t>집행총액
(b)</t>
    <phoneticPr fontId="20" type="noConversion"/>
  </si>
  <si>
    <t>잔액
(d-b)</t>
    <phoneticPr fontId="20" type="noConversion"/>
  </si>
  <si>
    <t>집행률
(b/d)</t>
    <phoneticPr fontId="20" type="noConversion"/>
  </si>
  <si>
    <t>6월</t>
    <phoneticPr fontId="20" type="noConversion"/>
  </si>
  <si>
    <t>기타운영비</t>
    <phoneticPr fontId="20" type="noConversion"/>
  </si>
  <si>
    <t>교육지원비</t>
    <phoneticPr fontId="20" type="noConversion"/>
  </si>
  <si>
    <t>세입월</t>
    <phoneticPr fontId="20" type="noConversion"/>
  </si>
  <si>
    <t>소모품비</t>
    <phoneticPr fontId="20" type="noConversion"/>
  </si>
  <si>
    <t>7월</t>
    <phoneticPr fontId="20" type="noConversion"/>
  </si>
  <si>
    <t>1월</t>
    <phoneticPr fontId="20" type="noConversion"/>
  </si>
  <si>
    <t>미래지향적 학부 교양교육 실현_박현주</t>
  </si>
  <si>
    <t>1차 전용액
(B1)</t>
    <phoneticPr fontId="20" type="noConversion"/>
  </si>
  <si>
    <t>전용(조정) 후 예산현액(C=A+B)</t>
    <phoneticPr fontId="20" type="noConversion"/>
  </si>
  <si>
    <t>기타운영비</t>
    <phoneticPr fontId="20" type="noConversion"/>
  </si>
  <si>
    <t>인쇄출판비</t>
  </si>
  <si>
    <t>행사비</t>
  </si>
  <si>
    <t>*2025.00.00. 기준 수익액: 원</t>
    <phoneticPr fontId="20" type="noConversion"/>
  </si>
  <si>
    <t>교원기타수당</t>
    <phoneticPr fontId="20" type="noConversion"/>
  </si>
  <si>
    <t>소모품비</t>
    <phoneticPr fontId="20" type="noConversion"/>
  </si>
  <si>
    <t>기타학생경비</t>
    <phoneticPr fontId="20" type="noConversion"/>
  </si>
  <si>
    <t>교육지원비</t>
    <phoneticPr fontId="20" type="noConversion"/>
  </si>
  <si>
    <t>회의비</t>
    <phoneticPr fontId="20" type="noConversion"/>
  </si>
  <si>
    <t>회의비</t>
    <phoneticPr fontId="20" type="noConversion"/>
  </si>
  <si>
    <t>회의비</t>
    <phoneticPr fontId="20" type="noConversion"/>
  </si>
  <si>
    <t>행사비</t>
    <phoneticPr fontId="20" type="noConversion"/>
  </si>
  <si>
    <t>행사비</t>
    <phoneticPr fontId="20" type="noConversion"/>
  </si>
  <si>
    <t>부서</t>
  </si>
  <si>
    <t>부서</t>
    <phoneticPr fontId="20" type="noConversion"/>
  </si>
  <si>
    <t>교육</t>
  </si>
  <si>
    <t>사업</t>
  </si>
  <si>
    <t>요구과목</t>
  </si>
  <si>
    <t>요구내역</t>
  </si>
  <si>
    <t>요구금액</t>
  </si>
  <si>
    <t>소계</t>
  </si>
  <si>
    <t>베리타스 강좌1 교과목 개발(10강좌)</t>
  </si>
  <si>
    <t>베리타스 실천 교과목 개발(10강좌)</t>
  </si>
  <si>
    <t>베리타스 강좌2 교과목 개발(5강좌)</t>
  </si>
  <si>
    <t>베리타스 강좌 평가 및 환류 등 고도화 작업</t>
  </si>
  <si>
    <t>베리타스 강좌1 교과목 운영(36강좌)</t>
  </si>
  <si>
    <t>베리타스 실천 교과목 운영(15강좌)</t>
  </si>
  <si>
    <t>베리타스 강좌2 교과목 운영(2강좌)</t>
  </si>
  <si>
    <t>베리타스 강좌1 교과목 조교 지도비</t>
  </si>
  <si>
    <t>베리타스 실천 교과목 조교 지도비</t>
  </si>
  <si>
    <t>베리타스 강좌2 교과목 조교 지도비</t>
  </si>
  <si>
    <t>베리타스 강좌 행정지원 조교(4명)</t>
  </si>
  <si>
    <t>베리타스교과운영위원회 등 회의 운영</t>
  </si>
  <si>
    <t>학부대학 핵심 강좌 내실화</t>
  </si>
  <si>
    <t>퇴직급여</t>
  </si>
  <si>
    <t>기획</t>
  </si>
  <si>
    <t>콘텐츠형 교육 설계 전문인력</t>
  </si>
  <si>
    <t>교원급여</t>
  </si>
  <si>
    <t>교원정액급식비</t>
  </si>
  <si>
    <t>교원기타부담금</t>
  </si>
  <si>
    <t>토론형 수업 고도화를 위한 교육펠로우 운영</t>
  </si>
  <si>
    <t>SNU 초대형 하이브리드 강좌 개발</t>
  </si>
  <si>
    <t>인문사회계를 위한 MSC 교과목 개발</t>
  </si>
  <si>
    <t>&lt;학문의 토대&gt; 영역 교과목 개편</t>
  </si>
  <si>
    <t>&lt;지성의 열쇠&gt; 영역 교과목 개편</t>
  </si>
  <si>
    <t>&lt;지성의 열쇠&gt; 표준강의계획서 개발 및 평가</t>
  </si>
  <si>
    <t>SNU 초대형 하이브리드 강좌 운영 조교 활동비</t>
  </si>
  <si>
    <t>SNU 초대형 하이브리드 강좌 운영</t>
  </si>
  <si>
    <t>서울대학교 공통교육과정 담당 교원 워크숍</t>
  </si>
  <si>
    <t>학부대학 핵심 강좌 내실화 논의</t>
  </si>
  <si>
    <t>교무</t>
  </si>
  <si>
    <t>연합·연계전공 교과목 개발</t>
  </si>
  <si>
    <t>연합·연계전공 표준 운영 가이드라인 마련</t>
  </si>
  <si>
    <t>연합·연계전공 교육혁신 활동비</t>
  </si>
  <si>
    <t>연합·연계전공 운영조교(10명)</t>
  </si>
  <si>
    <t>180.000.000</t>
  </si>
  <si>
    <t>연합·연계전공 통합행정체계 운영</t>
  </si>
  <si>
    <t>연합·연계전공 설명회, 교류행사 등 개최</t>
  </si>
  <si>
    <t>연합·연계전공 운영체계 개선 논의</t>
  </si>
  <si>
    <t>전공설계 지원 강화</t>
  </si>
  <si>
    <t>학생지원비</t>
  </si>
  <si>
    <t>학생</t>
  </si>
  <si>
    <t>전공설계 및 탐색 프로그램 운영</t>
  </si>
  <si>
    <t>글로벌교육과정 확대 운영</t>
  </si>
  <si>
    <t>여비</t>
  </si>
  <si>
    <t>신규 글로벌교육과정 발굴을 위한 국내외 조사</t>
  </si>
  <si>
    <t>글로벌인재특별전형 신입생 한국어학습 지원</t>
  </si>
  <si>
    <t>글로벌교육 교과 및 컨텐츠 개발</t>
  </si>
  <si>
    <t>글로벌교육과정 확대 논의 등</t>
  </si>
  <si>
    <t>신입생 분반제도 시범운영</t>
  </si>
  <si>
    <t>신입생 분반제도 교과목(세미나) 개발(9강좌)</t>
  </si>
  <si>
    <t>신입생 분반제도 교과목 운영</t>
  </si>
  <si>
    <t>신입생 분반제도 교과목 운영 활동비</t>
  </si>
  <si>
    <t>신입생 분반제도 시범운영 중간평가</t>
  </si>
  <si>
    <t>우수 비교과 프로그램 육성</t>
  </si>
  <si>
    <t>우수 비교과 프로그램 육성 지원</t>
  </si>
  <si>
    <t>SNU 맞춤형 학습튜터링 활동비</t>
  </si>
  <si>
    <t>SNU 맞춤형 학습튜터링 운영비</t>
  </si>
  <si>
    <t>전공선택 이전 (무전공) 학생 지원</t>
  </si>
  <si>
    <t>전공탐색 특화 현장학습 프로그램 운영</t>
  </si>
  <si>
    <t>전공결정 이전(무전공) 학생 교류행사 개최</t>
  </si>
  <si>
    <t>학부대학 소속 학생 (자유전공, 광역) 지원</t>
  </si>
  <si>
    <t>학부대학 소속 학생 학생활동 지원</t>
  </si>
  <si>
    <t>입학식, 새내기새로배움터, 가족초청행사 개최</t>
  </si>
  <si>
    <t>업무추진비</t>
  </si>
  <si>
    <t>서무</t>
  </si>
  <si>
    <t>학부대학 통합행정체계 업무추진</t>
  </si>
  <si>
    <t>학부대학 산하기구 (예: 글쓰기지원센터) 개별 홈페이지 구축</t>
  </si>
  <si>
    <t>홍보비</t>
  </si>
  <si>
    <t>학부대학 소식지, 홍보영상 등 제작</t>
  </si>
  <si>
    <t>학부대학 홍보단 운영</t>
  </si>
  <si>
    <t>학부대학 발전방향 논의 등</t>
  </si>
  <si>
    <t>인프라 조성</t>
  </si>
  <si>
    <t>기타시설관리비</t>
  </si>
  <si>
    <t>220동 203호 대형강의실 시설개선</t>
  </si>
  <si>
    <t>멀티미디어동 하이브리드 강의실 구축</t>
  </si>
  <si>
    <t>토론형 강의실(세미나실 등) 시설 개선</t>
  </si>
  <si>
    <t>베리타스 강의실 추가 구축</t>
  </si>
  <si>
    <t>학부대학 행정공간 환경개선</t>
  </si>
  <si>
    <t>첨단장비 및 각종 기자재 구입</t>
  </si>
  <si>
    <t>학습데이터 분석 전문인력,체험형 비교과 운영 전문인력</t>
    <phoneticPr fontId="20" type="noConversion"/>
  </si>
  <si>
    <t>전공결정 이전(무전공) 학생 비교과 프로그램 신규 개발</t>
    <phoneticPr fontId="20" type="noConversion"/>
  </si>
  <si>
    <t>학내외 소통 및 학부대학 운영</t>
  </si>
  <si>
    <t>학내외 소통 및 학부대학 운영</t>
    <phoneticPr fontId="20" type="noConversion"/>
  </si>
  <si>
    <t>융합교육과정 (연합·연계전공) 지원</t>
  </si>
  <si>
    <t>융합교육과정 (연합·연계전공) 지원</t>
    <phoneticPr fontId="20" type="noConversion"/>
  </si>
  <si>
    <t>베리타스 강좌 개발 및 운영</t>
  </si>
  <si>
    <t>베리타스 강좌 개발 및 운영</t>
    <phoneticPr fontId="20" type="noConversion"/>
  </si>
  <si>
    <t>산출내역</t>
    <phoneticPr fontId="20" type="noConversion"/>
  </si>
  <si>
    <t>담당자</t>
    <phoneticPr fontId="20" type="noConversion"/>
  </si>
  <si>
    <t>행 레이블</t>
  </si>
  <si>
    <t>총합계</t>
  </si>
  <si>
    <t>교육</t>
    <phoneticPr fontId="20" type="noConversion"/>
  </si>
  <si>
    <t>유윤애</t>
  </si>
  <si>
    <t>베리타스 강좌1 교과목 개발: 10강좌x2,000만원</t>
  </si>
  <si>
    <t>베리타스 실천 교과목 개발: 10강좌x2,000만원</t>
  </si>
  <si>
    <t>베리타스 강좌2 교과목 개발: 5강좌x2,000만원</t>
  </si>
  <si>
    <t>베리타스 강좌 평가 및 환류 등: 5건x2,000만원</t>
  </si>
  <si>
    <t>베리타스 강좌1 교과목 운영: 36강좌x450만원</t>
  </si>
  <si>
    <t>베리타스 실천 교과목 운영: 15강좌x450만원</t>
  </si>
  <si>
    <t>베리타스 강좌2 교과목 운영: 2강좌x450만원</t>
  </si>
  <si>
    <t>베리타스 강좌1 교과목 조교 지도비: 6명x480만원x36강좌</t>
  </si>
  <si>
    <t>베리타스 실천 교과목 조교 지도비: 2명x480만원x15강좌</t>
  </si>
  <si>
    <t>베리타스 강좌2 교과목 조교 지도비 6명x480만원x2강좌</t>
  </si>
  <si>
    <t>베리타스 강좌 행정지원 조교: 4명x12개월x150만원</t>
  </si>
  <si>
    <t>베리타스교과운영위원회 등 회의 운영: 30,000,000원</t>
  </si>
  <si>
    <t>김현진</t>
  </si>
  <si>
    <t>인문사회계를 위한 MSC 교과목 개발 : 5강좌×5,000천원=25,000천원</t>
  </si>
  <si>
    <t>&lt;학문의 토대&gt; 영역 내실화: 70강좌×8,000천원=560,000천원</t>
  </si>
  <si>
    <t>&lt;지성의 열쇠&gt; 영역 내실화: 100강좌×10,000천원=1,000,000천원</t>
  </si>
  <si>
    <t>&lt;지성의 열쇠&gt; 표준강의 계획서 개발 및 주기적 평가 실시 : 2회×50,000천원=100,000천원</t>
  </si>
  <si>
    <t>공통교육과정 교양영역별 담당 교원 워크숍 개최: 5회 X 10,000천원</t>
  </si>
  <si>
    <t>공통교육과정 개편 TF 회의 개최: 8회 X 1,250천원</t>
  </si>
  <si>
    <t>교육</t>
    <phoneticPr fontId="20" type="noConversion"/>
  </si>
  <si>
    <t>학생</t>
    <phoneticPr fontId="20" type="noConversion"/>
  </si>
  <si>
    <t>학생</t>
    <phoneticPr fontId="20" type="noConversion"/>
  </si>
  <si>
    <t>글로벌 인재 양성 외국어 국제 교류 교육_미정</t>
    <phoneticPr fontId="20" type="noConversion"/>
  </si>
  <si>
    <t>문혜민</t>
  </si>
  <si>
    <t>○ 전공설계 및 탐색 프로그램 운영: 전공설계 간담회(1학기) 20,000,000원,  전공백서 제작  80,000,000원, 전공탐색주간 융합전공 소개 프로그램 60,000,000원, 전공설계 간담회(2학기)  20,000,000원, Academic Advising Forum  30,000,000원, Academic Advising Sesssion  10,000,000원, 학부생의 전공분야 탐색 지원(각종 포럼 및 학회 추천 및 참석지원)50,000,000원</t>
    <phoneticPr fontId="20" type="noConversion"/>
  </si>
  <si>
    <t>임승연</t>
  </si>
  <si>
    <t>전현선</t>
  </si>
  <si>
    <t>SNU 맞춤형 학습튜터링</t>
    <phoneticPr fontId="20" type="noConversion"/>
  </si>
  <si>
    <t>기타학생경비</t>
    <phoneticPr fontId="20" type="noConversion"/>
  </si>
  <si>
    <t>연합연계전공 표준운영가이드라인 수립(교내연구과제)</t>
  </si>
  <si>
    <t>23개 전공 운영비</t>
  </si>
  <si>
    <t>연합연계 운영지원 조교 인건비</t>
  </si>
  <si>
    <t>연합연계 운영 제반사항 추진</t>
  </si>
  <si>
    <t>연합연계 전공소개 행사 등</t>
  </si>
  <si>
    <t>연합연계전공 운영위원회 개최 등</t>
  </si>
  <si>
    <t>전공별 독자 교과목 개발비
- 5백만원 * 10과목</t>
    <phoneticPr fontId="20" type="noConversion"/>
  </si>
  <si>
    <t>학부대학 교수회의 개최
= 60명 * 4만원 * 4회</t>
    <phoneticPr fontId="20" type="noConversion"/>
  </si>
  <si>
    <t>김혜광</t>
  </si>
  <si>
    <t>이지현</t>
  </si>
  <si>
    <t>SNU 초대형 하이브리드 강좌 운영
800,000*12명*12개월=115,200,000
800,000*4명*12개월=38,400,000
800,000*20명*6개월=96,000,000</t>
    <phoneticPr fontId="20" type="noConversion"/>
  </si>
  <si>
    <t>SNU 초대형 하이브리드 강좌 운영
조교워크샵운영: 1,000,000원 * 10회=10,000,000
강의지원비품: 5,000,000*2회=10,000,000</t>
    <phoneticPr fontId="20" type="noConversion"/>
  </si>
  <si>
    <t>SNU 초대형 하이브리드 강좌 개발
20,000,000*2강좌</t>
    <phoneticPr fontId="20" type="noConversion"/>
  </si>
  <si>
    <t>50,000,000*2회</t>
  </si>
  <si>
    <t>10강좌*10,000,000</t>
  </si>
  <si>
    <t>1,000,000*10회</t>
  </si>
  <si>
    <t>이장현</t>
  </si>
  <si>
    <t>학부대학 소식지 제작, 사진촬영, 홍보영상 제작</t>
  </si>
  <si>
    <t>총 배정예산(변경)</t>
    <phoneticPr fontId="20" type="noConversion"/>
  </si>
  <si>
    <t>교원급여</t>
    <phoneticPr fontId="20" type="noConversion"/>
  </si>
  <si>
    <t>교원기타부담금</t>
    <phoneticPr fontId="20" type="noConversion"/>
  </si>
  <si>
    <t>교원 명절</t>
    <phoneticPr fontId="20" type="noConversion"/>
  </si>
  <si>
    <t>교원 정액급식비</t>
    <phoneticPr fontId="20" type="noConversion"/>
  </si>
  <si>
    <t>복리후생비</t>
    <phoneticPr fontId="20" type="noConversion"/>
  </si>
  <si>
    <t>직원 급여</t>
    <phoneticPr fontId="20" type="noConversion"/>
  </si>
  <si>
    <t>직원 기타부담금</t>
    <phoneticPr fontId="20" type="noConversion"/>
  </si>
  <si>
    <t>직원 명절휴가비</t>
    <phoneticPr fontId="20" type="noConversion"/>
  </si>
  <si>
    <t>직원 정액급식비</t>
    <phoneticPr fontId="20" type="noConversion"/>
  </si>
  <si>
    <t>퇴직 적립금</t>
    <phoneticPr fontId="20" type="noConversion"/>
  </si>
  <si>
    <t>콘텐츠형 교육 설계 전문인력: 5,000,000×1명=5,000,000</t>
    <phoneticPr fontId="20" type="noConversion"/>
  </si>
  <si>
    <t>콘텐츠형 교육 설계 전문인력: 5,000,000×12개월×1명=60,000,000</t>
    <phoneticPr fontId="20" type="noConversion"/>
  </si>
  <si>
    <t>콘텐츠형 교육 설계 전문인력: 140,000×12개월×1명=1,680.000</t>
    <phoneticPr fontId="20" type="noConversion"/>
  </si>
  <si>
    <t>콘텐츠형 교육 설계 전문인력: 600,000×12개월×1명=7,200,000</t>
    <phoneticPr fontId="20" type="noConversion"/>
  </si>
  <si>
    <t>기획</t>
    <phoneticPr fontId="20" type="noConversion"/>
  </si>
  <si>
    <t>대학혁신지원사업</t>
    <phoneticPr fontId="20" type="noConversion"/>
  </si>
  <si>
    <t>일반용역비</t>
    <phoneticPr fontId="20" type="noConversion"/>
  </si>
  <si>
    <t>비고</t>
    <phoneticPr fontId="20" type="noConversion"/>
  </si>
  <si>
    <t>연구개발비로 전용 예정</t>
  </si>
  <si>
    <t>예산 전용 필요
- 군 복무 원격수업 연구개발비 (60,000,000원)</t>
    <phoneticPr fontId="20" type="noConversion"/>
  </si>
  <si>
    <t>예산 전용 필요
- 온라인 시스템(Etl) 활용 조교 비용(28,880,000원)_기타학생경비
- 군 복무 원격수업 강좌 개발 및 원격 지원 소프트웨어 구독료(15,000,000원)_기타운영비
- 예비대학 프로그램 관련 인쇄출판비(1,000,000원)_인쇄출판비
- 예비대학 프로그램 신규 콘텐츠 개발 비용_1,000,000</t>
    <phoneticPr fontId="20" type="noConversion"/>
  </si>
  <si>
    <t>교육역량 강화 관련 강사료 107,000,000원</t>
    <phoneticPr fontId="20" type="noConversion"/>
  </si>
  <si>
    <t>총 배정요구액</t>
    <phoneticPr fontId="20" type="noConversion"/>
  </si>
  <si>
    <t>기타인건비</t>
    <phoneticPr fontId="20" type="noConversion"/>
  </si>
  <si>
    <t>직원기타부담금</t>
    <phoneticPr fontId="20" type="noConversion"/>
  </si>
  <si>
    <t>퇴직급여</t>
    <phoneticPr fontId="20" type="noConversion"/>
  </si>
  <si>
    <t>교육펠로우 운영</t>
    <phoneticPr fontId="20" type="noConversion"/>
  </si>
  <si>
    <t>현재 2명 중 1명만 채용되었으며, 담당부서 미정</t>
    <phoneticPr fontId="20" type="noConversion"/>
  </si>
  <si>
    <t>220동 203호 대형강의실 시설개선</t>
    <phoneticPr fontId="20" type="noConversion"/>
  </si>
  <si>
    <t>멀티미디어동 하이브리드 강의실 구축</t>
    <phoneticPr fontId="20" type="noConversion"/>
  </si>
  <si>
    <t>토론형 강의실(세미나실 등) 시설 개선</t>
    <phoneticPr fontId="20" type="noConversion"/>
  </si>
  <si>
    <t>베리타스 강의실 추가 구축</t>
    <phoneticPr fontId="20" type="noConversion"/>
  </si>
  <si>
    <t>학부대학 행정공간 환경개선</t>
    <phoneticPr fontId="20" type="noConversion"/>
  </si>
  <si>
    <t>보직자 업무추진</t>
    <phoneticPr fontId="20" type="noConversion"/>
  </si>
  <si>
    <t>첨단장비 및 각종 기자재 구입</t>
    <phoneticPr fontId="20" type="noConversion"/>
  </si>
  <si>
    <t>기타인건비</t>
  </si>
  <si>
    <t>직원기타부담금</t>
  </si>
  <si>
    <t>배정요구액(A)</t>
    <phoneticPr fontId="20" type="noConversion"/>
  </si>
  <si>
    <t>직원정액급식비</t>
    <phoneticPr fontId="20" type="noConversion"/>
  </si>
  <si>
    <t>부서</t>
    <phoneticPr fontId="20" type="noConversion"/>
  </si>
  <si>
    <t>교육</t>
    <phoneticPr fontId="20" type="noConversion"/>
  </si>
  <si>
    <t>교육</t>
    <phoneticPr fontId="20" type="noConversion"/>
  </si>
  <si>
    <t>기획</t>
    <phoneticPr fontId="20" type="noConversion"/>
  </si>
  <si>
    <t>학생</t>
    <phoneticPr fontId="20" type="noConversion"/>
  </si>
  <si>
    <t>기획</t>
    <phoneticPr fontId="20" type="noConversion"/>
  </si>
  <si>
    <t>기획</t>
    <phoneticPr fontId="20" type="noConversion"/>
  </si>
  <si>
    <t>부서</t>
    <phoneticPr fontId="20" type="noConversion"/>
  </si>
  <si>
    <t>교육</t>
    <phoneticPr fontId="20" type="noConversion"/>
  </si>
  <si>
    <t>기획</t>
    <phoneticPr fontId="20" type="noConversion"/>
  </si>
  <si>
    <t>기획</t>
    <phoneticPr fontId="20" type="noConversion"/>
  </si>
  <si>
    <t>-</t>
    <phoneticPr fontId="20" type="noConversion"/>
  </si>
  <si>
    <t>실제배정액(B)</t>
    <phoneticPr fontId="20" type="noConversion"/>
  </si>
  <si>
    <t>변경배정요구액(C)</t>
    <phoneticPr fontId="20" type="noConversion"/>
  </si>
  <si>
    <t>차액(C-A)</t>
    <phoneticPr fontId="20" type="noConversion"/>
  </si>
  <si>
    <t>전용필요액(C-B)</t>
    <phoneticPr fontId="20" type="noConversion"/>
  </si>
  <si>
    <t>인건비로 편성</t>
    <phoneticPr fontId="20" type="noConversion"/>
  </si>
  <si>
    <t>전공설계 및 탐색 프로그램 운영: 행사 개최, 학부생의 전공분야 탐색 지원(각종 포럼 및 학회 추천 및 참석지원) 등 40,000,000원</t>
    <phoneticPr fontId="20" type="noConversion"/>
  </si>
  <si>
    <t>학부대학 소속 학생(자유전공, 광역) 학생활동 지원</t>
    <phoneticPr fontId="20" type="noConversion"/>
  </si>
  <si>
    <t>신입생 새내기 학교 등 각종 학생 행사 비용</t>
    <phoneticPr fontId="20" type="noConversion"/>
  </si>
  <si>
    <t>전공탐색 특화 현장학습 프로그램 운영: 1,400,000천원
  - 해외현장학습: 5,500천원×200명=1,100,000천원
  - 국내현장학습: 1,500천원×200명=300,000천원</t>
    <phoneticPr fontId="20" type="noConversion"/>
  </si>
  <si>
    <t>전공설계 및 탐색 프로그램 운영: 연구과제 60,000,000원</t>
    <phoneticPr fontId="20" type="noConversion"/>
  </si>
  <si>
    <t>SNU 맞춤형 학습튜터링 운영: 9,000천원</t>
    <phoneticPr fontId="20" type="noConversion"/>
  </si>
  <si>
    <t xml:space="preserve">SNU 맞춤형 학습튜터링(교과맞춤형): 173,200천원
   - 튜터활동비: 60명×1,200천원×2개학기=144,000천원
   - 조교활동비: 4명×600천원×8개월=19,200천원
   - 조교활동비: 1명×600천원×12개월=7,200천원
   - 우수튜터포상: 7명×200천원×2개학기=2,800천원
SNU 맞춤형 학습튜터링(통합형): 83,000천원
   - 튜터활동비: 25명×1,500천원×2개학기=75,000천원
   - 조교활동비: 1명×600천원×12개월=7,200천원
   - 우수튜터포상: 2명×200천원×2개학기=800천원 </t>
    <phoneticPr fontId="20" type="noConversion"/>
  </si>
  <si>
    <t>우수 비교과 프로그램 육성 지원: 500,000천원
  - (타기관) 10개 프로그램×20,000천원=200,000천원
  - (자체) 10개 프로그램×30,000천원=300,000천원</t>
    <phoneticPr fontId="20" type="noConversion"/>
  </si>
  <si>
    <t>서울대학교 신입생 분반제도 교과목(세미나) 개발: 9강좌×3,000천원=27,000천원</t>
    <phoneticPr fontId="20" type="noConversion"/>
  </si>
  <si>
    <t xml:space="preserve">서울대학교 신입생 분반제도 교과목 운영: (3,000천원×12분반)+(6,000천원×6분반)=72,000천원  </t>
    <phoneticPr fontId="20" type="noConversion"/>
  </si>
  <si>
    <t>서울대학교 신입생 분반제도 교과목 운영 활동비(대학원생): 60만원*6개월*9명*2개학기= 4,800천원
서울대학교 신입생 분반제도 교과목 운영 활동비(학부생): 180만원*18명*2개학기=64,800천원</t>
    <phoneticPr fontId="20" type="noConversion"/>
  </si>
  <si>
    <t>서울대학교 신입생 분반제도 시범운영 중간평가: 6,000천원</t>
    <phoneticPr fontId="20" type="noConversion"/>
  </si>
  <si>
    <t>프로그램구분</t>
    <phoneticPr fontId="20" type="noConversion"/>
  </si>
  <si>
    <t>핵심강좌</t>
    <phoneticPr fontId="20" type="noConversion"/>
  </si>
  <si>
    <t>전공설계</t>
    <phoneticPr fontId="20" type="noConversion"/>
  </si>
  <si>
    <t>글로벌교육</t>
    <phoneticPr fontId="20" type="noConversion"/>
  </si>
  <si>
    <t>분반제도</t>
    <phoneticPr fontId="20" type="noConversion"/>
  </si>
  <si>
    <t>우수비교과</t>
    <phoneticPr fontId="20" type="noConversion"/>
  </si>
  <si>
    <t>베리타스</t>
    <phoneticPr fontId="20" type="noConversion"/>
  </si>
  <si>
    <t>피어튜터</t>
    <phoneticPr fontId="20" type="noConversion"/>
  </si>
  <si>
    <t>인프라조성</t>
    <phoneticPr fontId="20" type="noConversion"/>
  </si>
  <si>
    <t>핵심강좌</t>
    <phoneticPr fontId="20" type="noConversion"/>
  </si>
  <si>
    <t>유지보수</t>
    <phoneticPr fontId="20" type="noConversion"/>
  </si>
  <si>
    <t>융합교육</t>
    <phoneticPr fontId="20" type="noConversion"/>
  </si>
  <si>
    <t>학생지원</t>
    <phoneticPr fontId="20" type="noConversion"/>
  </si>
  <si>
    <t>무전공지원</t>
    <phoneticPr fontId="20" type="noConversion"/>
  </si>
  <si>
    <t>무전공지원</t>
    <phoneticPr fontId="20" type="noConversion"/>
  </si>
  <si>
    <t>소통운영</t>
    <phoneticPr fontId="20" type="noConversion"/>
  </si>
  <si>
    <t>교육역량</t>
    <phoneticPr fontId="20" type="noConversion"/>
  </si>
  <si>
    <t>담당자</t>
    <phoneticPr fontId="20" type="noConversion"/>
  </si>
  <si>
    <t>송진경</t>
  </si>
  <si>
    <t>박주아</t>
  </si>
  <si>
    <t>김재경</t>
  </si>
  <si>
    <t>이정현</t>
  </si>
  <si>
    <t>임지수</t>
  </si>
  <si>
    <t>이미숙</t>
  </si>
  <si>
    <t>박주아, 이정현</t>
    <phoneticPr fontId="20" type="noConversion"/>
  </si>
  <si>
    <t>융합주제강좌</t>
    <phoneticPr fontId="20" type="noConversion"/>
  </si>
  <si>
    <t>학생자율</t>
    <phoneticPr fontId="20" type="noConversion"/>
  </si>
  <si>
    <t>토론한마당</t>
    <phoneticPr fontId="20" type="noConversion"/>
  </si>
  <si>
    <t>휴먼튜브</t>
    <phoneticPr fontId="20" type="noConversion"/>
  </si>
  <si>
    <t>피어튜터링</t>
    <phoneticPr fontId="20" type="noConversion"/>
  </si>
  <si>
    <t>공공미술</t>
    <phoneticPr fontId="20" type="noConversion"/>
  </si>
  <si>
    <t>학술글쓰기역량강화프로그램</t>
    <phoneticPr fontId="20" type="noConversion"/>
  </si>
  <si>
    <t>우수리포트 공모대회</t>
    <phoneticPr fontId="20" type="noConversion"/>
  </si>
  <si>
    <t>학업역량강화프로그램</t>
    <phoneticPr fontId="20" type="noConversion"/>
  </si>
  <si>
    <t>학습상담</t>
    <phoneticPr fontId="20" type="noConversion"/>
  </si>
  <si>
    <t>기관</t>
    <phoneticPr fontId="20" type="noConversion"/>
  </si>
  <si>
    <t>프로그램명</t>
    <phoneticPr fontId="20" type="noConversion"/>
  </si>
  <si>
    <t xml:space="preserve"> 프로그램명</t>
    <phoneticPr fontId="20" type="noConversion"/>
  </si>
  <si>
    <t>프로그램명</t>
    <phoneticPr fontId="20" type="noConversion"/>
  </si>
  <si>
    <t>장혜지</t>
  </si>
  <si>
    <t>장혜지</t>
    <phoneticPr fontId="20" type="noConversion"/>
  </si>
  <si>
    <t>김영혜</t>
  </si>
  <si>
    <t>온라인강좌 개발 외주 용역비</t>
    <phoneticPr fontId="20" type="noConversion"/>
  </si>
  <si>
    <t>온라인강좌 운영(K-MOOC, edX)</t>
    <phoneticPr fontId="20" type="noConversion"/>
  </si>
  <si>
    <t>온라인강좌 개발(K-MOOC, edX)</t>
    <phoneticPr fontId="20" type="noConversion"/>
  </si>
  <si>
    <t>온라인강좌 제작 이미지, 영상 구입 등</t>
    <phoneticPr fontId="20" type="noConversion"/>
  </si>
  <si>
    <t>온라인강좌 개발 소모품 구입</t>
    <phoneticPr fontId="20" type="noConversion"/>
  </si>
  <si>
    <t>담당자</t>
    <phoneticPr fontId="20" type="noConversion"/>
  </si>
  <si>
    <t>박현주</t>
    <phoneticPr fontId="20" type="noConversion"/>
  </si>
  <si>
    <t>미정</t>
    <phoneticPr fontId="20" type="noConversion"/>
  </si>
  <si>
    <t>송진경</t>
    <phoneticPr fontId="20" type="noConversion"/>
  </si>
  <si>
    <t>유윤애</t>
    <phoneticPr fontId="20" type="noConversion"/>
  </si>
  <si>
    <t>허성</t>
    <phoneticPr fontId="20" type="noConversion"/>
  </si>
  <si>
    <t>김진호</t>
    <phoneticPr fontId="20" type="noConversion"/>
  </si>
  <si>
    <t>기획</t>
    <phoneticPr fontId="20" type="noConversion"/>
  </si>
  <si>
    <t>김재경</t>
    <phoneticPr fontId="20" type="noConversion"/>
  </si>
  <si>
    <t>서덕진</t>
    <phoneticPr fontId="20" type="noConversion"/>
  </si>
  <si>
    <t>임지수</t>
    <phoneticPr fontId="20" type="noConversion"/>
  </si>
  <si>
    <t>김혜광</t>
    <phoneticPr fontId="20" type="noConversion"/>
  </si>
  <si>
    <t>하이브리드 대형강좌 개발 지원</t>
    <phoneticPr fontId="20" type="noConversion"/>
  </si>
  <si>
    <t>가상현실(VR) 활용 교육 콘텐츠 개발 연구</t>
    <phoneticPr fontId="20" type="noConversion"/>
  </si>
  <si>
    <t>군 복무 원격수업 신규 개발</t>
    <phoneticPr fontId="20" type="noConversion"/>
  </si>
  <si>
    <t>하이브리드 대형강의실 재구축 / 대형강의실 장비 및 기자재 구입</t>
    <phoneticPr fontId="20" type="noConversion"/>
  </si>
  <si>
    <t>하이브리드 대형강의실 재구축 / 대형강의실 장비 및 기자재 구입</t>
    <phoneticPr fontId="20" type="noConversion"/>
  </si>
  <si>
    <t>신입생 기초교과목 원격수업용 콘텐츠 개발(예비대학 포함)</t>
    <phoneticPr fontId="20" type="noConversion"/>
  </si>
  <si>
    <t>온라인 콘텐츠 제작 및 이러닝학습지원시스템 지원</t>
    <phoneticPr fontId="20" type="noConversion"/>
  </si>
  <si>
    <r>
      <t>전용후 예산현액
(C=</t>
    </r>
    <r>
      <rPr>
        <u/>
        <sz val="10"/>
        <color theme="1"/>
        <rFont val="돋움"/>
        <family val="3"/>
        <charset val="129"/>
      </rPr>
      <t>A</t>
    </r>
    <r>
      <rPr>
        <sz val="10"/>
        <color theme="1"/>
        <rFont val="돋움"/>
        <family val="3"/>
        <charset val="129"/>
      </rPr>
      <t>+</t>
    </r>
    <r>
      <rPr>
        <u/>
        <sz val="10"/>
        <color theme="1"/>
        <rFont val="돋움"/>
        <family val="3"/>
        <charset val="129"/>
      </rPr>
      <t>B</t>
    </r>
    <r>
      <rPr>
        <sz val="10"/>
        <color theme="1"/>
        <rFont val="돋움"/>
        <family val="3"/>
        <charset val="129"/>
      </rPr>
      <t>)</t>
    </r>
    <phoneticPr fontId="20" type="noConversion"/>
  </si>
  <si>
    <t>글로벌인재특별전형 신입생 한국어 학습 지원 사업(과정운영)</t>
    <phoneticPr fontId="20" type="noConversion"/>
  </si>
  <si>
    <t xml:space="preserve">글로벌인재특별전형 신입생 한국어 학습 지원 사업(과정운영)
- 튜터활동비:50명*1,200,000*2학기=120,000,000
- 조교활동비:8명*600,000*12개월=57,600,000
- 우수튜터포상:400,000원*6명=2,400,000 </t>
    <phoneticPr fontId="20" type="noConversion"/>
  </si>
  <si>
    <t>황인경</t>
  </si>
  <si>
    <t>미정</t>
  </si>
  <si>
    <t>윤선웅</t>
  </si>
  <si>
    <t>김혜원</t>
  </si>
  <si>
    <t>김덕호</t>
  </si>
  <si>
    <t>김진호</t>
  </si>
  <si>
    <t>허성</t>
  </si>
  <si>
    <t>전용요청액
(C)</t>
    <phoneticPr fontId="20" type="noConversion"/>
  </si>
  <si>
    <t>마이런시스템 유지보수 16,300,000원</t>
    <phoneticPr fontId="20" type="noConversion"/>
  </si>
  <si>
    <t>재배정기관</t>
    <phoneticPr fontId="20" type="noConversion"/>
  </si>
  <si>
    <t>우수비교과</t>
  </si>
  <si>
    <t>융합교육</t>
  </si>
  <si>
    <t>인문대학</t>
  </si>
  <si>
    <t>사회과학대학</t>
  </si>
  <si>
    <t>자연과학대학</t>
  </si>
  <si>
    <t>경영대학</t>
  </si>
  <si>
    <t>공과대학</t>
  </si>
  <si>
    <t>미술대학</t>
  </si>
  <si>
    <t>사범대학</t>
  </si>
  <si>
    <t>글로벌교육</t>
  </si>
  <si>
    <t>언어교육원</t>
  </si>
  <si>
    <t>임재현</t>
  </si>
  <si>
    <t>경력개발센터</t>
  </si>
  <si>
    <t>중앙도서관</t>
  </si>
  <si>
    <t>글로벌사회공헌단</t>
  </si>
  <si>
    <t>다양성위원회</t>
  </si>
  <si>
    <t>전용후 예산현액
(E=A+B+C+D)</t>
    <phoneticPr fontId="20" type="noConversion"/>
  </si>
  <si>
    <t>집행총액
(F)</t>
    <phoneticPr fontId="20" type="noConversion"/>
  </si>
  <si>
    <t>잔액
(E-F)</t>
    <phoneticPr fontId="20" type="noConversion"/>
  </si>
  <si>
    <t>집행률
(F/E)</t>
    <phoneticPr fontId="20" type="noConversion"/>
  </si>
  <si>
    <t>SNU 맞춤형 학습튜터링</t>
  </si>
  <si>
    <t>전용액
(C1)</t>
    <phoneticPr fontId="20" type="noConversion"/>
  </si>
  <si>
    <t>전용액
(C2)</t>
    <phoneticPr fontId="20" type="noConversion"/>
  </si>
  <si>
    <t>재배정액
(D1)</t>
    <phoneticPr fontId="20" type="noConversion"/>
  </si>
  <si>
    <t>재배정액(반납)
(D2)</t>
    <phoneticPr fontId="20" type="noConversion"/>
  </si>
  <si>
    <t>전용액
(C3)</t>
    <phoneticPr fontId="20" type="noConversion"/>
  </si>
  <si>
    <t>재배정액
(D3)</t>
    <phoneticPr fontId="20" type="noConversion"/>
  </si>
  <si>
    <t>재배정액(반납)
(D4)</t>
    <phoneticPr fontId="20" type="noConversion"/>
  </si>
  <si>
    <t>학부대학 핵심 강좌 내실화(공통교육과정 개편)</t>
  </si>
  <si>
    <t>전용액
(C4)</t>
    <phoneticPr fontId="20" type="noConversion"/>
  </si>
  <si>
    <t>전용액
(C5)</t>
    <phoneticPr fontId="20" type="noConversion"/>
  </si>
  <si>
    <t>계(3~11월)</t>
    <phoneticPr fontId="20" type="noConversion"/>
  </si>
  <si>
    <t>산출내역 / 잔액발생사유</t>
    <phoneticPr fontId="20" type="noConversion"/>
  </si>
  <si>
    <t>연번</t>
    <phoneticPr fontId="20" type="noConversion"/>
  </si>
  <si>
    <t>조정</t>
    <phoneticPr fontId="20" type="noConversion"/>
  </si>
  <si>
    <t>최종잔액</t>
    <phoneticPr fontId="20" type="noConversion"/>
  </si>
  <si>
    <t>프로그램구분</t>
  </si>
  <si>
    <t>프로그램명</t>
  </si>
  <si>
    <t>담당자</t>
  </si>
  <si>
    <t>재배정기관</t>
  </si>
  <si>
    <t>전용후 예산현액
(E=A+B+C+D)</t>
  </si>
  <si>
    <t>집행총액
(F)</t>
  </si>
  <si>
    <t>잔액
(E-F)</t>
  </si>
  <si>
    <t>조정</t>
  </si>
  <si>
    <t>최종잔액</t>
  </si>
  <si>
    <t>베리타스</t>
  </si>
  <si>
    <t>최현정</t>
  </si>
  <si>
    <t>학부대학</t>
  </si>
  <si>
    <t>교원인건비</t>
  </si>
  <si>
    <t>학부대학 핵심 강좌 내실화/우수 비교과 프로그램 육성</t>
  </si>
  <si>
    <t>퇴직급여충당부채</t>
  </si>
  <si>
    <t>핵심강좌</t>
  </si>
  <si>
    <t>학부대학 핵심 강좌 내실화(하이브리드 강좌)</t>
  </si>
  <si>
    <t>우수 비교과 프로그램 육성(나도! 피카소)</t>
  </si>
  <si>
    <t>유지성</t>
  </si>
  <si>
    <t>직원인건비</t>
  </si>
  <si>
    <t>학부대학 핵심 강좌 내실화(교육펠로우 인건비)</t>
  </si>
  <si>
    <t>일용임금기타인건비</t>
  </si>
  <si>
    <t>생활과학대학</t>
  </si>
  <si>
    <t>전공설계</t>
  </si>
  <si>
    <t>학부대학 핵심 강좌 내실화(하이브리드 강좌 등)</t>
  </si>
  <si>
    <t>분반제도</t>
  </si>
  <si>
    <t>우수 비교과 프로그램 육성(우수 비교과 지원)</t>
  </si>
  <si>
    <t>우수 비교과 프로그램 육성(비교과 프로그램 고도화)</t>
  </si>
  <si>
    <t>우수 비교과 프로그램 육성(학부생 연구지원 프로그램)</t>
  </si>
  <si>
    <t>피어튜터</t>
  </si>
  <si>
    <t>무전공지원</t>
  </si>
  <si>
    <t>의과대학</t>
  </si>
  <si>
    <t>치의학대학원</t>
  </si>
  <si>
    <t>학생지원</t>
  </si>
  <si>
    <t>소통운영</t>
  </si>
  <si>
    <t>박소현</t>
  </si>
  <si>
    <t>학내외 소통 및 학부대학 운영(기관공통분)</t>
  </si>
  <si>
    <t>인프라조성</t>
  </si>
  <si>
    <t>문도희</t>
  </si>
  <si>
    <t>교육역량</t>
  </si>
  <si>
    <t>교육역량 강화(대학혁신지원사업)</t>
  </si>
  <si>
    <t>유지보수</t>
  </si>
  <si>
    <t>마이런시스템 유지보수(대학혁신지원사업)</t>
  </si>
  <si>
    <t>계</t>
  </si>
  <si>
    <t>반납금액</t>
    <phoneticPr fontId="20" type="noConversion"/>
  </si>
  <si>
    <t>예산현액</t>
    <phoneticPr fontId="20" type="noConversion"/>
  </si>
  <si>
    <t>집행총액</t>
    <phoneticPr fontId="20" type="noConversion"/>
  </si>
  <si>
    <t>잔액</t>
    <phoneticPr fontId="20" type="noConversion"/>
  </si>
  <si>
    <t>조정액</t>
    <phoneticPr fontId="20" type="noConversion"/>
  </si>
  <si>
    <t>반납예정금액</t>
    <phoneticPr fontId="20" type="noConversion"/>
  </si>
  <si>
    <t>예상잔액</t>
    <phoneticPr fontId="20" type="noConversion"/>
  </si>
  <si>
    <t>최종예산</t>
    <phoneticPr fontId="20" type="noConversion"/>
  </si>
  <si>
    <t>12월 지출: 
- 특강비: 600,000원
- 행사비(학생간담회): 290,500원
- 행사비(개별발표회): 6,025,560원
1월 지출 (나머지 잔액을 기계비품 세목으로 전용할 예정) 
- 연계전공 수업을 위한 전자칠판 구매예정 약 470만원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</si>
</sst>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5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sz val="10"/>
      <color rgb="FF363636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color rgb="FFFF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rgb="FF363636"/>
      <name val="돋움"/>
      <family val="3"/>
      <charset val="129"/>
    </font>
    <font>
      <sz val="11"/>
      <name val="돋움"/>
      <family val="3"/>
      <charset val="129"/>
    </font>
    <font>
      <sz val="10"/>
      <color rgb="FF0000FF"/>
      <name val="돋움"/>
      <family val="3"/>
      <charset val="129"/>
    </font>
    <font>
      <b/>
      <sz val="14"/>
      <color rgb="FFFF0000"/>
      <name val="돋움"/>
      <family val="3"/>
      <charset val="129"/>
    </font>
    <font>
      <sz val="11"/>
      <color rgb="FF9C57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363636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u/>
      <sz val="10"/>
      <color theme="1"/>
      <name val="돋움"/>
      <family val="3"/>
      <charset val="129"/>
    </font>
    <font>
      <sz val="10"/>
      <name val="맑은 고딕"/>
      <family val="2"/>
      <charset val="129"/>
      <scheme val="minor"/>
    </font>
    <font>
      <sz val="11"/>
      <color rgb="FF000000"/>
      <name val="휴먼명조"/>
      <charset val="129"/>
    </font>
    <font>
      <sz val="12"/>
      <color rgb="FF000000"/>
      <name val="휴먼명조"/>
      <charset val="129"/>
    </font>
    <font>
      <b/>
      <sz val="10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363636"/>
      <name val="돋움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ck">
        <color rgb="FF0000FF"/>
      </right>
      <top style="thin">
        <color indexed="64"/>
      </top>
      <bottom style="thick">
        <color rgb="FF0000FF"/>
      </bottom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/>
      <top/>
      <bottom style="thin">
        <color indexed="64"/>
      </bottom>
      <diagonal/>
    </border>
  </borders>
  <cellStyleXfs count="5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7" fillId="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8" fillId="0" borderId="0">
      <alignment vertical="center"/>
    </xf>
  </cellStyleXfs>
  <cellXfs count="2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41" fontId="24" fillId="34" borderId="10" xfId="43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41" fontId="0" fillId="0" borderId="0" xfId="43" applyFont="1">
      <alignment vertical="center"/>
    </xf>
    <xf numFmtId="41" fontId="0" fillId="0" borderId="0" xfId="43" applyFont="1" applyFill="1">
      <alignment vertical="center"/>
    </xf>
    <xf numFmtId="41" fontId="0" fillId="0" borderId="10" xfId="43" applyFont="1" applyFill="1" applyBorder="1">
      <alignment vertical="center"/>
    </xf>
    <xf numFmtId="41" fontId="31" fillId="33" borderId="10" xfId="43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36" borderId="10" xfId="0" applyFill="1" applyBorder="1">
      <alignment vertical="center"/>
    </xf>
    <xf numFmtId="0" fontId="33" fillId="0" borderId="10" xfId="0" applyFont="1" applyBorder="1" applyAlignment="1">
      <alignment horizontal="left" vertical="center"/>
    </xf>
    <xf numFmtId="41" fontId="33" fillId="0" borderId="10" xfId="43" applyFont="1" applyFill="1" applyBorder="1" applyAlignment="1">
      <alignment horizontal="right" vertical="center"/>
    </xf>
    <xf numFmtId="0" fontId="34" fillId="0" borderId="10" xfId="0" applyFont="1" applyBorder="1" applyAlignment="1">
      <alignment horizontal="left" vertical="center"/>
    </xf>
    <xf numFmtId="41" fontId="0" fillId="0" borderId="0" xfId="43" applyFont="1" applyFill="1" applyBorder="1">
      <alignment vertical="center"/>
    </xf>
    <xf numFmtId="41" fontId="0" fillId="36" borderId="10" xfId="0" applyNumberFormat="1" applyFill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3" fillId="0" borderId="10" xfId="0" applyFont="1" applyBorder="1" applyAlignment="1">
      <alignment horizontal="center" vertical="center"/>
    </xf>
    <xf numFmtId="41" fontId="24" fillId="0" borderId="10" xfId="43" applyFont="1" applyFill="1" applyBorder="1" applyAlignment="1">
      <alignment horizontal="right" vertical="center"/>
    </xf>
    <xf numFmtId="3" fontId="19" fillId="0" borderId="10" xfId="0" applyNumberFormat="1" applyFont="1" applyBorder="1" applyAlignment="1">
      <alignment horizontal="right" vertical="center"/>
    </xf>
    <xf numFmtId="9" fontId="24" fillId="0" borderId="10" xfId="1" applyFont="1" applyFill="1" applyBorder="1">
      <alignment vertical="center"/>
    </xf>
    <xf numFmtId="41" fontId="24" fillId="38" borderId="10" xfId="43" applyFont="1" applyFill="1" applyBorder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0" fontId="21" fillId="0" borderId="0" xfId="0" applyFont="1">
      <alignment vertical="center"/>
    </xf>
    <xf numFmtId="9" fontId="1" fillId="0" borderId="10" xfId="1" applyFont="1" applyFill="1" applyBorder="1">
      <alignment vertical="center"/>
    </xf>
    <xf numFmtId="9" fontId="1" fillId="36" borderId="10" xfId="1" applyFont="1" applyFill="1" applyBorder="1">
      <alignment vertical="center"/>
    </xf>
    <xf numFmtId="43" fontId="0" fillId="0" borderId="0" xfId="0" applyNumberFormat="1">
      <alignment vertical="center"/>
    </xf>
    <xf numFmtId="41" fontId="39" fillId="0" borderId="10" xfId="43" applyFont="1" applyFill="1" applyBorder="1" applyAlignment="1">
      <alignment horizontal="right" vertical="center"/>
    </xf>
    <xf numFmtId="41" fontId="40" fillId="0" borderId="10" xfId="43" applyFont="1" applyFill="1" applyBorder="1">
      <alignment vertical="center"/>
    </xf>
    <xf numFmtId="41" fontId="41" fillId="0" borderId="10" xfId="43" applyFont="1" applyFill="1" applyBorder="1">
      <alignment vertical="center"/>
    </xf>
    <xf numFmtId="41" fontId="40" fillId="36" borderId="10" xfId="0" applyNumberFormat="1" applyFont="1" applyFill="1" applyBorder="1">
      <alignment vertical="center"/>
    </xf>
    <xf numFmtId="49" fontId="24" fillId="0" borderId="10" xfId="43" applyNumberFormat="1" applyFont="1" applyFill="1" applyBorder="1" applyAlignment="1">
      <alignment horizontal="left" vertical="center" wrapText="1"/>
    </xf>
    <xf numFmtId="49" fontId="24" fillId="0" borderId="10" xfId="43" applyNumberFormat="1" applyFont="1" applyFill="1" applyBorder="1" applyAlignment="1">
      <alignment horizontal="left" vertical="center"/>
    </xf>
    <xf numFmtId="49" fontId="26" fillId="0" borderId="10" xfId="43" applyNumberFormat="1" applyFont="1" applyFill="1" applyBorder="1" applyAlignment="1">
      <alignment horizontal="left" vertical="center" wrapText="1"/>
    </xf>
    <xf numFmtId="49" fontId="28" fillId="0" borderId="10" xfId="43" applyNumberFormat="1" applyFont="1" applyFill="1" applyBorder="1" applyAlignment="1">
      <alignment horizontal="left" vertical="center" wrapText="1"/>
    </xf>
    <xf numFmtId="49" fontId="24" fillId="0" borderId="10" xfId="43" quotePrefix="1" applyNumberFormat="1" applyFont="1" applyFill="1" applyBorder="1" applyAlignment="1">
      <alignment horizontal="left" vertical="center" wrapText="1"/>
    </xf>
    <xf numFmtId="49" fontId="24" fillId="0" borderId="10" xfId="43" quotePrefix="1" applyNumberFormat="1" applyFont="1" applyFill="1" applyBorder="1" applyAlignment="1">
      <alignment horizontal="left" vertical="center"/>
    </xf>
    <xf numFmtId="49" fontId="35" fillId="0" borderId="10" xfId="43" quotePrefix="1" applyNumberFormat="1" applyFont="1" applyFill="1" applyBorder="1" applyAlignment="1">
      <alignment horizontal="left" vertical="center"/>
    </xf>
    <xf numFmtId="0" fontId="0" fillId="0" borderId="32" xfId="0" applyBorder="1">
      <alignment vertical="center"/>
    </xf>
    <xf numFmtId="41" fontId="33" fillId="0" borderId="10" xfId="0" applyNumberFormat="1" applyFont="1" applyBorder="1" applyAlignment="1">
      <alignment horizontal="center" vertical="center"/>
    </xf>
    <xf numFmtId="41" fontId="27" fillId="0" borderId="0" xfId="43" applyFont="1">
      <alignment vertical="center"/>
    </xf>
    <xf numFmtId="41" fontId="0" fillId="0" borderId="0" xfId="43" applyFont="1" applyBorder="1">
      <alignment vertical="center"/>
    </xf>
    <xf numFmtId="3" fontId="44" fillId="0" borderId="0" xfId="0" applyNumberFormat="1" applyFont="1" applyAlignment="1">
      <alignment horizontal="right" vertical="center" wrapText="1"/>
    </xf>
    <xf numFmtId="3" fontId="45" fillId="0" borderId="0" xfId="0" applyNumberFormat="1" applyFont="1" applyAlignment="1">
      <alignment horizontal="right" vertical="center" wrapText="1"/>
    </xf>
    <xf numFmtId="41" fontId="21" fillId="0" borderId="10" xfId="43" applyFont="1" applyFill="1" applyBorder="1">
      <alignment vertical="center"/>
    </xf>
    <xf numFmtId="9" fontId="21" fillId="0" borderId="10" xfId="1" applyFont="1" applyFill="1" applyBorder="1">
      <alignment vertical="center"/>
    </xf>
    <xf numFmtId="41" fontId="19" fillId="0" borderId="10" xfId="0" applyNumberFormat="1" applyFont="1" applyBorder="1" applyAlignment="1">
      <alignment horizontal="right" vertical="center"/>
    </xf>
    <xf numFmtId="0" fontId="0" fillId="37" borderId="0" xfId="0" applyFill="1">
      <alignment vertical="center"/>
    </xf>
    <xf numFmtId="0" fontId="21" fillId="0" borderId="24" xfId="0" applyFont="1" applyBorder="1">
      <alignment vertical="center"/>
    </xf>
    <xf numFmtId="41" fontId="21" fillId="0" borderId="11" xfId="43" applyFont="1" applyFill="1" applyBorder="1">
      <alignment vertical="center"/>
    </xf>
    <xf numFmtId="0" fontId="31" fillId="0" borderId="0" xfId="0" applyFont="1">
      <alignment vertical="center"/>
    </xf>
    <xf numFmtId="41" fontId="31" fillId="0" borderId="10" xfId="43" applyFont="1" applyFill="1" applyBorder="1">
      <alignment vertical="center"/>
    </xf>
    <xf numFmtId="9" fontId="31" fillId="0" borderId="10" xfId="1" applyFont="1" applyFill="1" applyBorder="1">
      <alignment vertical="center"/>
    </xf>
    <xf numFmtId="0" fontId="31" fillId="0" borderId="10" xfId="0" applyFont="1" applyBorder="1">
      <alignment vertical="center"/>
    </xf>
    <xf numFmtId="41" fontId="31" fillId="0" borderId="0" xfId="0" applyNumberFormat="1" applyFont="1">
      <alignment vertical="center"/>
    </xf>
    <xf numFmtId="0" fontId="47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41" fontId="31" fillId="0" borderId="10" xfId="0" applyNumberFormat="1" applyFont="1" applyBorder="1" applyAlignment="1">
      <alignment horizontal="center" vertical="center"/>
    </xf>
    <xf numFmtId="41" fontId="31" fillId="0" borderId="10" xfId="0" applyNumberFormat="1" applyFont="1" applyBorder="1">
      <alignment vertical="center"/>
    </xf>
    <xf numFmtId="41" fontId="47" fillId="0" borderId="10" xfId="0" applyNumberFormat="1" applyFont="1" applyBorder="1" applyAlignment="1">
      <alignment horizontal="center" vertical="center"/>
    </xf>
    <xf numFmtId="41" fontId="47" fillId="0" borderId="10" xfId="0" applyNumberFormat="1" applyFont="1" applyBorder="1">
      <alignment vertical="center"/>
    </xf>
    <xf numFmtId="0" fontId="47" fillId="36" borderId="10" xfId="0" applyFont="1" applyFill="1" applyBorder="1" applyAlignment="1">
      <alignment horizontal="center" vertical="center"/>
    </xf>
    <xf numFmtId="41" fontId="47" fillId="36" borderId="10" xfId="0" applyNumberFormat="1" applyFont="1" applyFill="1" applyBorder="1">
      <alignment vertical="center"/>
    </xf>
    <xf numFmtId="41" fontId="47" fillId="36" borderId="10" xfId="43" applyFont="1" applyFill="1" applyBorder="1">
      <alignment vertical="center"/>
    </xf>
    <xf numFmtId="9" fontId="47" fillId="36" borderId="10" xfId="1" applyFont="1" applyFill="1" applyBorder="1">
      <alignment vertical="center"/>
    </xf>
    <xf numFmtId="0" fontId="47" fillId="36" borderId="10" xfId="0" applyFont="1" applyFill="1" applyBorder="1">
      <alignment vertical="center"/>
    </xf>
    <xf numFmtId="3" fontId="19" fillId="0" borderId="11" xfId="0" applyNumberFormat="1" applyFont="1" applyBorder="1" applyAlignment="1">
      <alignment horizontal="right" vertical="center"/>
    </xf>
    <xf numFmtId="41" fontId="19" fillId="0" borderId="11" xfId="0" applyNumberFormat="1" applyFont="1" applyBorder="1" applyAlignment="1">
      <alignment horizontal="right" vertical="center"/>
    </xf>
    <xf numFmtId="0" fontId="21" fillId="0" borderId="28" xfId="0" applyFont="1" applyBorder="1">
      <alignment vertical="center"/>
    </xf>
    <xf numFmtId="3" fontId="0" fillId="0" borderId="0" xfId="0" applyNumberFormat="1">
      <alignment vertical="center"/>
    </xf>
    <xf numFmtId="43" fontId="24" fillId="0" borderId="16" xfId="43" applyNumberFormat="1" applyFont="1" applyFill="1" applyBorder="1" applyAlignment="1">
      <alignment horizontal="right" vertical="center"/>
    </xf>
    <xf numFmtId="41" fontId="19" fillId="0" borderId="10" xfId="0" quotePrefix="1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/>
    </xf>
    <xf numFmtId="0" fontId="48" fillId="39" borderId="33" xfId="0" applyFont="1" applyFill="1" applyBorder="1" applyAlignment="1">
      <alignment horizontal="center" vertical="center" wrapText="1"/>
    </xf>
    <xf numFmtId="0" fontId="48" fillId="39" borderId="34" xfId="0" applyFont="1" applyFill="1" applyBorder="1" applyAlignment="1">
      <alignment horizontal="center" vertical="center" wrapText="1"/>
    </xf>
    <xf numFmtId="0" fontId="48" fillId="0" borderId="36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49" fillId="0" borderId="35" xfId="0" applyFont="1" applyBorder="1" applyAlignment="1">
      <alignment horizontal="center" vertical="center" wrapText="1"/>
    </xf>
    <xf numFmtId="3" fontId="49" fillId="0" borderId="35" xfId="0" applyNumberFormat="1" applyFont="1" applyBorder="1" applyAlignment="1">
      <alignment horizontal="right" vertical="center" wrapText="1"/>
    </xf>
    <xf numFmtId="0" fontId="49" fillId="0" borderId="42" xfId="0" applyFont="1" applyBorder="1" applyAlignment="1">
      <alignment horizontal="center" vertical="center" wrapText="1"/>
    </xf>
    <xf numFmtId="3" fontId="49" fillId="0" borderId="42" xfId="0" applyNumberFormat="1" applyFont="1" applyBorder="1" applyAlignment="1">
      <alignment horizontal="right" vertical="center" wrapText="1"/>
    </xf>
    <xf numFmtId="0" fontId="49" fillId="0" borderId="43" xfId="0" applyFont="1" applyBorder="1" applyAlignment="1">
      <alignment horizontal="center" vertical="center" wrapText="1"/>
    </xf>
    <xf numFmtId="0" fontId="48" fillId="0" borderId="43" xfId="0" applyFont="1" applyBorder="1" applyAlignment="1">
      <alignment horizontal="center" vertical="center" wrapText="1"/>
    </xf>
    <xf numFmtId="3" fontId="49" fillId="0" borderId="43" xfId="0" applyNumberFormat="1" applyFont="1" applyBorder="1" applyAlignment="1">
      <alignment horizontal="right" vertical="center" wrapText="1"/>
    </xf>
    <xf numFmtId="0" fontId="49" fillId="0" borderId="42" xfId="0" applyFont="1" applyBorder="1" applyAlignment="1">
      <alignment horizontal="right" vertical="center" wrapText="1"/>
    </xf>
    <xf numFmtId="0" fontId="48" fillId="0" borderId="42" xfId="0" applyFont="1" applyBorder="1" applyAlignment="1">
      <alignment horizontal="center" vertical="center" wrapText="1"/>
    </xf>
    <xf numFmtId="3" fontId="49" fillId="0" borderId="44" xfId="0" applyNumberFormat="1" applyFont="1" applyBorder="1" applyAlignment="1">
      <alignment horizontal="righ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49" fillId="0" borderId="36" xfId="0" applyFont="1" applyBorder="1" applyAlignment="1">
      <alignment vertical="center" wrapText="1"/>
    </xf>
    <xf numFmtId="0" fontId="49" fillId="0" borderId="43" xfId="0" applyFont="1" applyBorder="1" applyAlignment="1">
      <alignment vertical="center" wrapText="1"/>
    </xf>
    <xf numFmtId="0" fontId="48" fillId="0" borderId="43" xfId="0" applyFont="1" applyBorder="1" applyAlignment="1">
      <alignment vertical="center" wrapText="1"/>
    </xf>
    <xf numFmtId="0" fontId="48" fillId="0" borderId="37" xfId="0" applyFont="1" applyBorder="1" applyAlignment="1">
      <alignment vertical="center" wrapText="1"/>
    </xf>
    <xf numFmtId="0" fontId="48" fillId="0" borderId="38" xfId="0" applyFont="1" applyBorder="1" applyAlignment="1">
      <alignment vertical="center" wrapText="1"/>
    </xf>
    <xf numFmtId="0" fontId="48" fillId="0" borderId="46" xfId="0" applyFont="1" applyBorder="1" applyAlignment="1">
      <alignment vertical="center" wrapText="1"/>
    </xf>
    <xf numFmtId="0" fontId="48" fillId="0" borderId="47" xfId="0" applyFont="1" applyBorder="1" applyAlignment="1">
      <alignment vertical="center" wrapText="1"/>
    </xf>
    <xf numFmtId="0" fontId="48" fillId="0" borderId="48" xfId="0" applyFont="1" applyBorder="1" applyAlignment="1">
      <alignment vertical="center" wrapText="1"/>
    </xf>
    <xf numFmtId="0" fontId="48" fillId="0" borderId="49" xfId="0" applyFont="1" applyBorder="1" applyAlignment="1">
      <alignment vertical="center" wrapText="1"/>
    </xf>
    <xf numFmtId="0" fontId="0" fillId="0" borderId="15" xfId="0" applyBorder="1">
      <alignment vertical="center"/>
    </xf>
    <xf numFmtId="41" fontId="21" fillId="33" borderId="10" xfId="43" applyFont="1" applyFill="1" applyBorder="1" applyAlignment="1">
      <alignment horizontal="center" vertical="center" wrapText="1"/>
    </xf>
    <xf numFmtId="41" fontId="21" fillId="33" borderId="10" xfId="43" applyFont="1" applyFill="1" applyBorder="1" applyAlignment="1">
      <alignment horizontal="center" vertical="center"/>
    </xf>
    <xf numFmtId="41" fontId="21" fillId="36" borderId="17" xfId="43" applyFont="1" applyFill="1" applyBorder="1">
      <alignment vertical="center"/>
    </xf>
    <xf numFmtId="9" fontId="21" fillId="36" borderId="17" xfId="1" applyFont="1" applyFill="1" applyBorder="1">
      <alignment vertical="center"/>
    </xf>
    <xf numFmtId="0" fontId="21" fillId="36" borderId="26" xfId="0" applyFont="1" applyFill="1" applyBorder="1">
      <alignment vertical="center"/>
    </xf>
    <xf numFmtId="41" fontId="26" fillId="0" borderId="10" xfId="43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21" fillId="0" borderId="10" xfId="43" applyFont="1" applyFill="1" applyBorder="1" applyAlignment="1">
      <alignment horizontal="right" vertical="center"/>
    </xf>
    <xf numFmtId="9" fontId="21" fillId="0" borderId="11" xfId="1" applyFont="1" applyFill="1" applyBorder="1">
      <alignment vertical="center"/>
    </xf>
    <xf numFmtId="41" fontId="0" fillId="0" borderId="10" xfId="0" applyNumberFormat="1" applyBorder="1">
      <alignment vertical="center"/>
    </xf>
    <xf numFmtId="0" fontId="21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4" fillId="0" borderId="10" xfId="0" applyFont="1" applyBorder="1">
      <alignment vertical="center"/>
    </xf>
    <xf numFmtId="49" fontId="26" fillId="0" borderId="10" xfId="43" applyNumberFormat="1" applyFont="1" applyFill="1" applyBorder="1" applyAlignment="1">
      <alignment horizontal="left" vertical="center"/>
    </xf>
    <xf numFmtId="41" fontId="24" fillId="0" borderId="10" xfId="0" applyNumberFormat="1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41" fontId="43" fillId="0" borderId="10" xfId="0" applyNumberFormat="1" applyFont="1" applyBorder="1">
      <alignment vertical="center"/>
    </xf>
    <xf numFmtId="41" fontId="21" fillId="36" borderId="10" xfId="43" applyFont="1" applyFill="1" applyBorder="1" applyAlignment="1">
      <alignment horizontal="right" vertical="center"/>
    </xf>
    <xf numFmtId="41" fontId="32" fillId="36" borderId="10" xfId="43" applyFont="1" applyFill="1" applyBorder="1" applyAlignment="1">
      <alignment horizontal="left" vertical="center"/>
    </xf>
    <xf numFmtId="41" fontId="29" fillId="36" borderId="10" xfId="43" applyFont="1" applyFill="1" applyBorder="1" applyAlignment="1">
      <alignment horizontal="right" vertical="center"/>
    </xf>
    <xf numFmtId="9" fontId="29" fillId="36" borderId="10" xfId="1" applyFont="1" applyFill="1" applyBorder="1">
      <alignment vertical="center"/>
    </xf>
    <xf numFmtId="0" fontId="29" fillId="36" borderId="10" xfId="0" applyFont="1" applyFill="1" applyBorder="1" applyAlignment="1">
      <alignment horizontal="right" vertical="center"/>
    </xf>
    <xf numFmtId="41" fontId="0" fillId="40" borderId="10" xfId="0" applyNumberFormat="1" applyFill="1" applyBorder="1">
      <alignment vertical="center"/>
    </xf>
    <xf numFmtId="0" fontId="21" fillId="0" borderId="10" xfId="0" applyFont="1" applyBorder="1">
      <alignment vertical="center"/>
    </xf>
    <xf numFmtId="41" fontId="46" fillId="36" borderId="10" xfId="43" applyFont="1" applyFill="1" applyBorder="1">
      <alignment vertical="center"/>
    </xf>
    <xf numFmtId="9" fontId="46" fillId="36" borderId="10" xfId="1" applyFont="1" applyFill="1" applyBorder="1">
      <alignment vertical="center"/>
    </xf>
    <xf numFmtId="0" fontId="21" fillId="36" borderId="10" xfId="0" applyFont="1" applyFill="1" applyBorder="1">
      <alignment vertical="center"/>
    </xf>
    <xf numFmtId="41" fontId="21" fillId="0" borderId="10" xfId="0" applyNumberFormat="1" applyFont="1" applyBorder="1">
      <alignment vertical="center"/>
    </xf>
    <xf numFmtId="41" fontId="46" fillId="36" borderId="10" xfId="43" applyFont="1" applyFill="1" applyBorder="1" applyAlignment="1">
      <alignment horizontal="right" vertical="center"/>
    </xf>
    <xf numFmtId="41" fontId="46" fillId="36" borderId="10" xfId="0" applyNumberFormat="1" applyFont="1" applyFill="1" applyBorder="1" applyAlignment="1">
      <alignment horizontal="right" vertical="center"/>
    </xf>
    <xf numFmtId="9" fontId="46" fillId="36" borderId="10" xfId="1" applyFont="1" applyFill="1" applyBorder="1" applyAlignment="1">
      <alignment horizontal="right" vertical="center"/>
    </xf>
    <xf numFmtId="0" fontId="46" fillId="36" borderId="10" xfId="0" applyFont="1" applyFill="1" applyBorder="1" applyAlignment="1">
      <alignment horizontal="center" vertical="center"/>
    </xf>
    <xf numFmtId="41" fontId="24" fillId="0" borderId="10" xfId="43" applyFont="1" applyFill="1" applyBorder="1">
      <alignment vertical="center"/>
    </xf>
    <xf numFmtId="41" fontId="24" fillId="0" borderId="10" xfId="43" applyFont="1" applyFill="1" applyBorder="1" applyAlignment="1">
      <alignment vertical="center" wrapText="1"/>
    </xf>
    <xf numFmtId="41" fontId="21" fillId="36" borderId="10" xfId="43" applyFont="1" applyFill="1" applyBorder="1">
      <alignment vertical="center"/>
    </xf>
    <xf numFmtId="9" fontId="21" fillId="36" borderId="10" xfId="1" applyFont="1" applyFill="1" applyBorder="1">
      <alignment vertical="center"/>
    </xf>
    <xf numFmtId="0" fontId="24" fillId="0" borderId="23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41" fontId="24" fillId="0" borderId="10" xfId="0" applyNumberFormat="1" applyFont="1" applyBorder="1" applyAlignment="1">
      <alignment horizontal="right" vertical="center"/>
    </xf>
    <xf numFmtId="3" fontId="24" fillId="0" borderId="10" xfId="0" applyNumberFormat="1" applyFont="1" applyBorder="1">
      <alignment vertical="center"/>
    </xf>
    <xf numFmtId="3" fontId="24" fillId="0" borderId="10" xfId="0" applyNumberFormat="1" applyFont="1" applyBorder="1" applyAlignment="1">
      <alignment horizontal="right" vertical="center"/>
    </xf>
    <xf numFmtId="3" fontId="24" fillId="0" borderId="10" xfId="0" applyNumberFormat="1" applyFont="1" applyBorder="1" applyAlignment="1">
      <alignment vertical="center" wrapText="1"/>
    </xf>
    <xf numFmtId="0" fontId="24" fillId="0" borderId="29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41" fontId="24" fillId="0" borderId="11" xfId="0" applyNumberFormat="1" applyFont="1" applyBorder="1" applyAlignment="1">
      <alignment horizontal="right" vertical="center"/>
    </xf>
    <xf numFmtId="3" fontId="24" fillId="0" borderId="11" xfId="0" applyNumberFormat="1" applyFont="1" applyBorder="1" applyAlignment="1">
      <alignment vertical="center" wrapText="1"/>
    </xf>
    <xf numFmtId="41" fontId="24" fillId="36" borderId="17" xfId="43" applyFont="1" applyFill="1" applyBorder="1">
      <alignment vertical="center"/>
    </xf>
    <xf numFmtId="41" fontId="24" fillId="36" borderId="17" xfId="43" applyFont="1" applyFill="1" applyBorder="1" applyAlignment="1">
      <alignment vertical="center"/>
    </xf>
    <xf numFmtId="3" fontId="24" fillId="0" borderId="11" xfId="0" applyNumberFormat="1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18" fillId="33" borderId="54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41" fontId="21" fillId="33" borderId="12" xfId="43" applyFont="1" applyFill="1" applyBorder="1" applyAlignment="1">
      <alignment horizontal="center" vertical="center" wrapText="1"/>
    </xf>
    <xf numFmtId="41" fontId="46" fillId="33" borderId="10" xfId="43" applyFont="1" applyFill="1" applyBorder="1" applyAlignment="1">
      <alignment horizontal="center" vertical="center" wrapText="1"/>
    </xf>
    <xf numFmtId="41" fontId="21" fillId="33" borderId="13" xfId="43" applyFont="1" applyFill="1" applyBorder="1" applyAlignment="1">
      <alignment horizontal="center" vertical="center" wrapText="1"/>
    </xf>
    <xf numFmtId="41" fontId="21" fillId="0" borderId="10" xfId="43" applyFont="1" applyFill="1" applyBorder="1" applyAlignment="1">
      <alignment horizontal="center" vertical="center"/>
    </xf>
    <xf numFmtId="41" fontId="21" fillId="33" borderId="15" xfId="43" applyFont="1" applyFill="1" applyBorder="1" applyAlignment="1">
      <alignment horizontal="center" vertical="center"/>
    </xf>
    <xf numFmtId="41" fontId="21" fillId="36" borderId="18" xfId="43" applyFont="1" applyFill="1" applyBorder="1">
      <alignment vertical="center"/>
    </xf>
    <xf numFmtId="41" fontId="21" fillId="36" borderId="61" xfId="43" applyFont="1" applyFill="1" applyBorder="1">
      <alignment vertical="center"/>
    </xf>
    <xf numFmtId="0" fontId="21" fillId="33" borderId="13" xfId="0" applyFont="1" applyFill="1" applyBorder="1" applyAlignment="1">
      <alignment horizontal="center" vertical="center"/>
    </xf>
    <xf numFmtId="9" fontId="21" fillId="36" borderId="61" xfId="1" applyFont="1" applyFill="1" applyBorder="1">
      <alignment vertical="center"/>
    </xf>
    <xf numFmtId="41" fontId="46" fillId="33" borderId="13" xfId="43" applyFont="1" applyFill="1" applyBorder="1" applyAlignment="1">
      <alignment horizontal="center" vertical="center" wrapText="1"/>
    </xf>
    <xf numFmtId="41" fontId="46" fillId="33" borderId="10" xfId="43" applyFont="1" applyFill="1" applyBorder="1" applyAlignment="1">
      <alignment horizontal="center" vertical="center"/>
    </xf>
    <xf numFmtId="49" fontId="27" fillId="0" borderId="10" xfId="0" applyNumberFormat="1" applyFont="1" applyBorder="1" applyAlignment="1">
      <alignment horizontal="center" vertical="center"/>
    </xf>
    <xf numFmtId="41" fontId="24" fillId="35" borderId="10" xfId="43" applyFont="1" applyFill="1" applyBorder="1">
      <alignment vertical="center"/>
    </xf>
    <xf numFmtId="41" fontId="46" fillId="35" borderId="10" xfId="43" applyFont="1" applyFill="1" applyBorder="1" applyAlignment="1">
      <alignment horizontal="center" vertical="center"/>
    </xf>
    <xf numFmtId="41" fontId="21" fillId="35" borderId="10" xfId="43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0" fillId="0" borderId="62" xfId="0" applyBorder="1">
      <alignment vertical="center"/>
    </xf>
    <xf numFmtId="0" fontId="0" fillId="0" borderId="15" xfId="0" applyBorder="1" applyAlignment="1">
      <alignment horizontal="center" vertical="center"/>
    </xf>
    <xf numFmtId="0" fontId="21" fillId="33" borderId="66" xfId="0" applyFont="1" applyFill="1" applyBorder="1" applyAlignment="1">
      <alignment horizontal="center" vertical="center"/>
    </xf>
    <xf numFmtId="0" fontId="21" fillId="36" borderId="67" xfId="0" applyFont="1" applyFill="1" applyBorder="1">
      <alignment vertical="center"/>
    </xf>
    <xf numFmtId="0" fontId="21" fillId="33" borderId="70" xfId="0" applyFont="1" applyFill="1" applyBorder="1" applyAlignment="1">
      <alignment horizontal="center" vertical="center"/>
    </xf>
    <xf numFmtId="41" fontId="21" fillId="36" borderId="71" xfId="43" applyFont="1" applyFill="1" applyBorder="1">
      <alignment vertical="center"/>
    </xf>
    <xf numFmtId="17" fontId="0" fillId="0" borderId="0" xfId="0" applyNumberFormat="1">
      <alignment vertical="center"/>
    </xf>
    <xf numFmtId="0" fontId="21" fillId="33" borderId="14" xfId="0" applyFont="1" applyFill="1" applyBorder="1" applyAlignment="1">
      <alignment horizontal="center" vertical="center"/>
    </xf>
    <xf numFmtId="3" fontId="19" fillId="0" borderId="13" xfId="0" applyNumberFormat="1" applyFont="1" applyBorder="1" applyAlignment="1">
      <alignment horizontal="right" vertical="center"/>
    </xf>
    <xf numFmtId="41" fontId="21" fillId="0" borderId="15" xfId="43" applyFont="1" applyFill="1" applyBorder="1">
      <alignment vertical="center"/>
    </xf>
    <xf numFmtId="9" fontId="21" fillId="0" borderId="13" xfId="1" applyFont="1" applyFill="1" applyBorder="1">
      <alignment vertical="center"/>
    </xf>
    <xf numFmtId="41" fontId="21" fillId="0" borderId="13" xfId="1" applyNumberFormat="1" applyFont="1" applyFill="1" applyBorder="1">
      <alignment vertical="center"/>
    </xf>
    <xf numFmtId="41" fontId="21" fillId="35" borderId="13" xfId="1" applyNumberFormat="1" applyFont="1" applyFill="1" applyBorder="1">
      <alignment vertical="center"/>
    </xf>
    <xf numFmtId="41" fontId="21" fillId="35" borderId="70" xfId="1" applyNumberFormat="1" applyFont="1" applyFill="1" applyBorder="1">
      <alignment vertical="center"/>
    </xf>
    <xf numFmtId="41" fontId="21" fillId="35" borderId="14" xfId="1" applyNumberFormat="1" applyFont="1" applyFill="1" applyBorder="1">
      <alignment vertical="center"/>
    </xf>
    <xf numFmtId="41" fontId="51" fillId="0" borderId="10" xfId="0" applyNumberFormat="1" applyFont="1" applyBorder="1" applyAlignment="1">
      <alignment horizontal="right" vertical="center"/>
    </xf>
    <xf numFmtId="41" fontId="35" fillId="0" borderId="10" xfId="43" applyFont="1" applyFill="1" applyBorder="1">
      <alignment vertical="center"/>
    </xf>
    <xf numFmtId="41" fontId="24" fillId="35" borderId="10" xfId="43" quotePrefix="1" applyFont="1" applyFill="1" applyBorder="1">
      <alignment vertical="center"/>
    </xf>
    <xf numFmtId="3" fontId="49" fillId="0" borderId="45" xfId="0" applyNumberFormat="1" applyFont="1" applyBorder="1" applyAlignment="1">
      <alignment horizontal="right" vertical="center" wrapText="1"/>
    </xf>
    <xf numFmtId="3" fontId="49" fillId="0" borderId="40" xfId="0" applyNumberFormat="1" applyFont="1" applyBorder="1" applyAlignment="1">
      <alignment horizontal="right" vertical="center" wrapText="1"/>
    </xf>
    <xf numFmtId="3" fontId="49" fillId="0" borderId="41" xfId="0" applyNumberFormat="1" applyFont="1" applyBorder="1" applyAlignment="1">
      <alignment horizontal="right" vertical="center" wrapText="1"/>
    </xf>
    <xf numFmtId="3" fontId="49" fillId="0" borderId="39" xfId="0" applyNumberFormat="1" applyFont="1" applyBorder="1" applyAlignment="1">
      <alignment horizontal="right" vertical="center" wrapText="1"/>
    </xf>
    <xf numFmtId="0" fontId="50" fillId="0" borderId="50" xfId="0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3" fontId="50" fillId="0" borderId="52" xfId="0" applyNumberFormat="1" applyFont="1" applyBorder="1" applyAlignment="1">
      <alignment horizontal="right" vertical="center" wrapText="1"/>
    </xf>
    <xf numFmtId="3" fontId="50" fillId="0" borderId="53" xfId="0" applyNumberFormat="1" applyFont="1" applyBorder="1" applyAlignment="1">
      <alignment horizontal="right" vertical="center" wrapText="1"/>
    </xf>
    <xf numFmtId="41" fontId="21" fillId="33" borderId="21" xfId="43" applyFont="1" applyFill="1" applyBorder="1" applyAlignment="1">
      <alignment horizontal="center" vertical="center" wrapText="1"/>
    </xf>
    <xf numFmtId="41" fontId="21" fillId="33" borderId="10" xfId="43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41" fontId="21" fillId="33" borderId="10" xfId="43" applyFont="1" applyFill="1" applyBorder="1" applyAlignment="1">
      <alignment horizontal="center" vertical="center"/>
    </xf>
    <xf numFmtId="0" fontId="24" fillId="36" borderId="25" xfId="0" applyFont="1" applyFill="1" applyBorder="1" applyAlignment="1">
      <alignment horizontal="center" vertical="center"/>
    </xf>
    <xf numFmtId="0" fontId="24" fillId="36" borderId="18" xfId="0" applyFont="1" applyFill="1" applyBorder="1" applyAlignment="1">
      <alignment horizontal="center" vertical="center"/>
    </xf>
    <xf numFmtId="0" fontId="24" fillId="36" borderId="17" xfId="0" applyFont="1" applyFill="1" applyBorder="1" applyAlignment="1">
      <alignment horizontal="center" vertical="center"/>
    </xf>
    <xf numFmtId="41" fontId="21" fillId="35" borderId="21" xfId="43" applyFont="1" applyFill="1" applyBorder="1" applyAlignment="1">
      <alignment horizontal="center" vertical="center" wrapText="1"/>
    </xf>
    <xf numFmtId="41" fontId="21" fillId="35" borderId="10" xfId="43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/>
    </xf>
    <xf numFmtId="0" fontId="18" fillId="33" borderId="23" xfId="0" applyFont="1" applyFill="1" applyBorder="1" applyAlignment="1">
      <alignment horizontal="center" vertical="center"/>
    </xf>
    <xf numFmtId="41" fontId="21" fillId="33" borderId="27" xfId="43" applyFont="1" applyFill="1" applyBorder="1" applyAlignment="1">
      <alignment horizontal="center" vertical="center" wrapText="1"/>
    </xf>
    <xf numFmtId="41" fontId="21" fillId="33" borderId="12" xfId="43" applyFont="1" applyFill="1" applyBorder="1" applyAlignment="1">
      <alignment horizontal="center" vertical="center" wrapText="1"/>
    </xf>
    <xf numFmtId="0" fontId="18" fillId="33" borderId="27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/>
    </xf>
    <xf numFmtId="0" fontId="21" fillId="33" borderId="22" xfId="0" applyFont="1" applyFill="1" applyBorder="1" applyAlignment="1">
      <alignment horizontal="center" vertical="center"/>
    </xf>
    <xf numFmtId="0" fontId="21" fillId="33" borderId="24" xfId="0" applyFont="1" applyFill="1" applyBorder="1" applyAlignment="1">
      <alignment horizontal="center" vertical="center"/>
    </xf>
    <xf numFmtId="0" fontId="32" fillId="36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41" fontId="21" fillId="34" borderId="10" xfId="43" applyFont="1" applyFill="1" applyBorder="1" applyAlignment="1">
      <alignment horizontal="center" vertical="center" wrapText="1"/>
    </xf>
    <xf numFmtId="0" fontId="21" fillId="36" borderId="13" xfId="0" applyFont="1" applyFill="1" applyBorder="1" applyAlignment="1">
      <alignment horizontal="center" vertical="center"/>
    </xf>
    <xf numFmtId="0" fontId="21" fillId="36" borderId="14" xfId="0" applyFont="1" applyFill="1" applyBorder="1" applyAlignment="1">
      <alignment horizontal="center" vertical="center"/>
    </xf>
    <xf numFmtId="0" fontId="21" fillId="36" borderId="15" xfId="0" applyFont="1" applyFill="1" applyBorder="1" applyAlignment="1">
      <alignment horizontal="center" vertical="center"/>
    </xf>
    <xf numFmtId="9" fontId="21" fillId="33" borderId="10" xfId="1" applyFont="1" applyFill="1" applyBorder="1" applyAlignment="1">
      <alignment horizontal="center" vertical="center" wrapText="1"/>
    </xf>
    <xf numFmtId="9" fontId="21" fillId="33" borderId="10" xfId="1" applyFont="1" applyFill="1" applyBorder="1" applyAlignment="1">
      <alignment horizontal="center" vertical="center"/>
    </xf>
    <xf numFmtId="0" fontId="46" fillId="35" borderId="68" xfId="0" applyFont="1" applyFill="1" applyBorder="1" applyAlignment="1">
      <alignment horizontal="center" vertical="center" wrapText="1"/>
    </xf>
    <xf numFmtId="0" fontId="46" fillId="35" borderId="69" xfId="0" applyFont="1" applyFill="1" applyBorder="1" applyAlignment="1">
      <alignment horizontal="center" vertical="center" wrapText="1"/>
    </xf>
    <xf numFmtId="0" fontId="18" fillId="33" borderId="30" xfId="0" applyFont="1" applyFill="1" applyBorder="1" applyAlignment="1">
      <alignment horizontal="center" vertical="center"/>
    </xf>
    <xf numFmtId="0" fontId="18" fillId="33" borderId="57" xfId="0" applyFont="1" applyFill="1" applyBorder="1" applyAlignment="1">
      <alignment horizontal="center" vertical="center"/>
    </xf>
    <xf numFmtId="0" fontId="21" fillId="33" borderId="27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46" fillId="35" borderId="59" xfId="0" applyFont="1" applyFill="1" applyBorder="1" applyAlignment="1">
      <alignment horizontal="center" vertical="center" wrapText="1"/>
    </xf>
    <xf numFmtId="0" fontId="46" fillId="35" borderId="60" xfId="0" applyFont="1" applyFill="1" applyBorder="1" applyAlignment="1">
      <alignment horizontal="center" vertical="center" wrapText="1"/>
    </xf>
    <xf numFmtId="41" fontId="21" fillId="33" borderId="54" xfId="43" applyFont="1" applyFill="1" applyBorder="1" applyAlignment="1">
      <alignment horizontal="center" vertical="center" wrapText="1"/>
    </xf>
    <xf numFmtId="0" fontId="46" fillId="35" borderId="72" xfId="0" applyFont="1" applyFill="1" applyBorder="1" applyAlignment="1">
      <alignment horizontal="center" vertical="center" wrapText="1"/>
    </xf>
    <xf numFmtId="0" fontId="46" fillId="35" borderId="73" xfId="0" applyFont="1" applyFill="1" applyBorder="1" applyAlignment="1">
      <alignment horizontal="center" vertical="center" wrapText="1"/>
    </xf>
    <xf numFmtId="0" fontId="24" fillId="36" borderId="61" xfId="0" applyFont="1" applyFill="1" applyBorder="1" applyAlignment="1">
      <alignment horizontal="center" vertical="center"/>
    </xf>
    <xf numFmtId="0" fontId="24" fillId="36" borderId="63" xfId="0" applyFont="1" applyFill="1" applyBorder="1" applyAlignment="1">
      <alignment horizontal="center" vertical="center"/>
    </xf>
    <xf numFmtId="0" fontId="21" fillId="33" borderId="64" xfId="0" applyFont="1" applyFill="1" applyBorder="1" applyAlignment="1">
      <alignment horizontal="center" vertical="center"/>
    </xf>
    <xf numFmtId="0" fontId="21" fillId="33" borderId="65" xfId="0" applyFont="1" applyFill="1" applyBorder="1" applyAlignment="1">
      <alignment horizontal="center" vertical="center"/>
    </xf>
    <xf numFmtId="41" fontId="46" fillId="33" borderId="55" xfId="43" applyFont="1" applyFill="1" applyBorder="1" applyAlignment="1">
      <alignment horizontal="center" vertical="center" wrapText="1"/>
    </xf>
    <xf numFmtId="41" fontId="46" fillId="33" borderId="56" xfId="43" applyFont="1" applyFill="1" applyBorder="1" applyAlignment="1">
      <alignment horizontal="center" vertical="center" wrapText="1"/>
    </xf>
    <xf numFmtId="41" fontId="46" fillId="33" borderId="58" xfId="43" applyFont="1" applyFill="1" applyBorder="1" applyAlignment="1">
      <alignment horizontal="center" vertical="center" wrapText="1"/>
    </xf>
    <xf numFmtId="41" fontId="46" fillId="33" borderId="31" xfId="43" applyFont="1" applyFill="1" applyBorder="1" applyAlignment="1">
      <alignment horizontal="center" vertical="center" wrapText="1"/>
    </xf>
    <xf numFmtId="0" fontId="21" fillId="33" borderId="59" xfId="0" applyFont="1" applyFill="1" applyBorder="1" applyAlignment="1">
      <alignment horizontal="center" vertical="center" wrapText="1"/>
    </xf>
    <xf numFmtId="0" fontId="21" fillId="33" borderId="60" xfId="0" applyFont="1" applyFill="1" applyBorder="1" applyAlignment="1">
      <alignment horizontal="center" vertical="center" wrapText="1"/>
    </xf>
    <xf numFmtId="0" fontId="18" fillId="33" borderId="31" xfId="0" applyFont="1" applyFill="1" applyBorder="1" applyAlignment="1">
      <alignment horizontal="center" vertical="center"/>
    </xf>
    <xf numFmtId="0" fontId="18" fillId="33" borderId="54" xfId="0" applyFont="1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6" borderId="15" xfId="0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 wrapText="1"/>
    </xf>
    <xf numFmtId="0" fontId="31" fillId="33" borderId="10" xfId="0" applyFont="1" applyFill="1" applyBorder="1" applyAlignment="1">
      <alignment horizontal="center" vertical="center"/>
    </xf>
    <xf numFmtId="0" fontId="30" fillId="33" borderId="10" xfId="0" applyFont="1" applyFill="1" applyBorder="1" applyAlignment="1">
      <alignment horizontal="center" vertical="center"/>
    </xf>
    <xf numFmtId="41" fontId="30" fillId="33" borderId="10" xfId="43" applyFont="1" applyFill="1" applyBorder="1" applyAlignment="1">
      <alignment horizontal="center" vertical="center" wrapText="1"/>
    </xf>
    <xf numFmtId="41" fontId="30" fillId="33" borderId="10" xfId="43" applyFont="1" applyFill="1" applyBorder="1" applyAlignment="1">
      <alignment horizontal="center" vertical="center"/>
    </xf>
    <xf numFmtId="41" fontId="31" fillId="33" borderId="11" xfId="43" applyFont="1" applyFill="1" applyBorder="1" applyAlignment="1">
      <alignment horizontal="center" vertical="center" wrapText="1"/>
    </xf>
    <xf numFmtId="41" fontId="31" fillId="33" borderId="12" xfId="43" applyFont="1" applyFill="1" applyBorder="1" applyAlignment="1">
      <alignment horizontal="center" vertical="center" wrapText="1"/>
    </xf>
    <xf numFmtId="41" fontId="31" fillId="33" borderId="10" xfId="43" applyFont="1" applyFill="1" applyBorder="1" applyAlignment="1">
      <alignment horizontal="center" vertical="center"/>
    </xf>
    <xf numFmtId="41" fontId="31" fillId="33" borderId="10" xfId="43" applyFont="1" applyFill="1" applyBorder="1" applyAlignment="1">
      <alignment horizontal="center" vertical="center" wrapText="1"/>
    </xf>
    <xf numFmtId="0" fontId="30" fillId="33" borderId="11" xfId="0" applyFont="1" applyFill="1" applyBorder="1" applyAlignment="1">
      <alignment horizontal="center" vertical="center"/>
    </xf>
    <xf numFmtId="0" fontId="30" fillId="33" borderId="12" xfId="0" applyFont="1" applyFill="1" applyBorder="1" applyAlignment="1">
      <alignment horizontal="center" vertical="center"/>
    </xf>
    <xf numFmtId="0" fontId="21" fillId="35" borderId="66" xfId="0" applyFont="1" applyFill="1" applyBorder="1" applyAlignment="1">
      <alignment vertical="center" wrapText="1" shrinkToFit="1"/>
    </xf>
  </cellXfs>
  <cellStyles count="5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1 2" xfId="46" xr:uid="{00000000-0005-0000-0000-00000D000000}"/>
    <cellStyle name="60% - 강조색2" xfId="26" builtinId="36" customBuiltin="1"/>
    <cellStyle name="60% - 강조색2 2" xfId="47" xr:uid="{00000000-0005-0000-0000-00000F000000}"/>
    <cellStyle name="60% - 강조색3" xfId="30" builtinId="40" customBuiltin="1"/>
    <cellStyle name="60% - 강조색3 2" xfId="48" xr:uid="{00000000-0005-0000-0000-000011000000}"/>
    <cellStyle name="60% - 강조색4" xfId="34" builtinId="44" customBuiltin="1"/>
    <cellStyle name="60% - 강조색4 2" xfId="49" xr:uid="{00000000-0005-0000-0000-000013000000}"/>
    <cellStyle name="60% - 강조색5" xfId="38" builtinId="48" customBuiltin="1"/>
    <cellStyle name="60% - 강조색5 2" xfId="50" xr:uid="{00000000-0005-0000-0000-000015000000}"/>
    <cellStyle name="60% - 강조색6" xfId="42" builtinId="52" customBuiltin="1"/>
    <cellStyle name="60% - 강조색6 2" xfId="51" xr:uid="{00000000-0005-0000-0000-000017000000}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백분율" xfId="1" builtinId="5"/>
    <cellStyle name="보통" xfId="9" builtinId="28" customBuiltin="1"/>
    <cellStyle name="보통 2" xfId="45" xr:uid="{00000000-0005-0000-0000-000024000000}"/>
    <cellStyle name="설명 텍스트" xfId="17" builtinId="53" customBuiltin="1"/>
    <cellStyle name="셀 확인" xfId="14" builtinId="23" customBuiltin="1"/>
    <cellStyle name="쉼표 [0]" xfId="43" builtinId="6"/>
    <cellStyle name="쉼표 [0] 2" xfId="52" xr:uid="{00000000-0005-0000-0000-000028000000}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4" xr:uid="{00000000-0005-0000-0000-000034000000}"/>
    <cellStyle name="표준 2 2" xfId="54" xr:uid="{00000000-0005-0000-0000-000035000000}"/>
    <cellStyle name="표준 4" xfId="53" xr:uid="{00000000-0005-0000-0000-00003600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7C80"/>
      <color rgb="FF9999FF"/>
      <color rgb="FFFFCCFF"/>
      <color rgb="FFBEE6E8"/>
      <color rgb="FF66FFFF"/>
      <color rgb="FFCCCC00"/>
      <color rgb="FF3399FF"/>
      <color rgb="FF0066FF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0</xdr:row>
      <xdr:rowOff>0</xdr:rowOff>
    </xdr:from>
    <xdr:to>
      <xdr:col>9</xdr:col>
      <xdr:colOff>848119</xdr:colOff>
      <xdr:row>20</xdr:row>
      <xdr:rowOff>29164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5124450"/>
          <a:ext cx="2819794" cy="4220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opLeftCell="A35" workbookViewId="0">
      <selection activeCell="E2" sqref="E2:E67"/>
    </sheetView>
  </sheetViews>
  <sheetFormatPr defaultRowHeight="16.5"/>
  <cols>
    <col min="2" max="2" width="12.25" bestFit="1" customWidth="1"/>
    <col min="4" max="4" width="46.375" customWidth="1"/>
    <col min="5" max="6" width="11.5" bestFit="1" customWidth="1"/>
  </cols>
  <sheetData>
    <row r="1" spans="1:6" ht="18" thickTop="1" thickBot="1">
      <c r="A1" s="75" t="s">
        <v>147</v>
      </c>
      <c r="B1" s="75" t="s">
        <v>148</v>
      </c>
      <c r="C1" s="75" t="s">
        <v>144</v>
      </c>
      <c r="D1" s="75" t="s">
        <v>149</v>
      </c>
      <c r="E1" s="75" t="s">
        <v>150</v>
      </c>
      <c r="F1" s="76" t="s">
        <v>151</v>
      </c>
    </row>
    <row r="2" spans="1:6" ht="37.5" thickTop="1" thickBot="1">
      <c r="A2" s="77" t="s">
        <v>238</v>
      </c>
      <c r="B2" s="93" t="s">
        <v>44</v>
      </c>
      <c r="C2" s="81" t="s">
        <v>146</v>
      </c>
      <c r="D2" s="81" t="s">
        <v>152</v>
      </c>
      <c r="E2" s="82">
        <v>200000000</v>
      </c>
      <c r="F2" s="193">
        <v>2178900000</v>
      </c>
    </row>
    <row r="3" spans="1:6" ht="18" thickTop="1" thickBot="1">
      <c r="A3" s="78"/>
      <c r="B3" s="93" t="s">
        <v>44</v>
      </c>
      <c r="C3" s="83" t="s">
        <v>146</v>
      </c>
      <c r="D3" s="83" t="s">
        <v>153</v>
      </c>
      <c r="E3" s="84">
        <v>200000000</v>
      </c>
      <c r="F3" s="191"/>
    </row>
    <row r="4" spans="1:6" ht="17.25" thickTop="1">
      <c r="A4" s="79"/>
      <c r="B4" s="93" t="s">
        <v>44</v>
      </c>
      <c r="C4" s="83" t="s">
        <v>146</v>
      </c>
      <c r="D4" s="83" t="s">
        <v>154</v>
      </c>
      <c r="E4" s="84">
        <v>100000000</v>
      </c>
      <c r="F4" s="191"/>
    </row>
    <row r="5" spans="1:6">
      <c r="A5" s="79"/>
      <c r="B5" s="83" t="s">
        <v>44</v>
      </c>
      <c r="C5" s="83" t="s">
        <v>146</v>
      </c>
      <c r="D5" s="83" t="s">
        <v>155</v>
      </c>
      <c r="E5" s="84">
        <v>100000000</v>
      </c>
      <c r="F5" s="191"/>
    </row>
    <row r="6" spans="1:6">
      <c r="A6" s="79"/>
      <c r="B6" s="94" t="s">
        <v>46</v>
      </c>
      <c r="C6" s="83" t="s">
        <v>146</v>
      </c>
      <c r="D6" s="83" t="s">
        <v>156</v>
      </c>
      <c r="E6" s="84">
        <v>162000000</v>
      </c>
      <c r="F6" s="191"/>
    </row>
    <row r="7" spans="1:6">
      <c r="A7" s="79"/>
      <c r="B7" s="94" t="s">
        <v>46</v>
      </c>
      <c r="C7" s="83" t="s">
        <v>146</v>
      </c>
      <c r="D7" s="83" t="s">
        <v>157</v>
      </c>
      <c r="E7" s="84">
        <v>67500000</v>
      </c>
      <c r="F7" s="191"/>
    </row>
    <row r="8" spans="1:6">
      <c r="A8" s="79"/>
      <c r="B8" s="94" t="s">
        <v>46</v>
      </c>
      <c r="C8" s="83" t="s">
        <v>146</v>
      </c>
      <c r="D8" s="83" t="s">
        <v>158</v>
      </c>
      <c r="E8" s="84">
        <v>9000000</v>
      </c>
      <c r="F8" s="191"/>
    </row>
    <row r="9" spans="1:6" ht="16.5" customHeight="1">
      <c r="A9" s="79"/>
      <c r="B9" s="94" t="s">
        <v>43</v>
      </c>
      <c r="C9" s="83" t="s">
        <v>146</v>
      </c>
      <c r="D9" s="83" t="s">
        <v>159</v>
      </c>
      <c r="E9" s="84">
        <v>1036800000</v>
      </c>
      <c r="F9" s="191"/>
    </row>
    <row r="10" spans="1:6">
      <c r="A10" s="79"/>
      <c r="B10" s="94" t="s">
        <v>43</v>
      </c>
      <c r="C10" s="83" t="s">
        <v>146</v>
      </c>
      <c r="D10" s="83" t="s">
        <v>160</v>
      </c>
      <c r="E10" s="84">
        <v>144000000</v>
      </c>
      <c r="F10" s="191"/>
    </row>
    <row r="11" spans="1:6">
      <c r="A11" s="79"/>
      <c r="B11" s="94" t="s">
        <v>43</v>
      </c>
      <c r="C11" s="83" t="s">
        <v>146</v>
      </c>
      <c r="D11" s="83" t="s">
        <v>161</v>
      </c>
      <c r="E11" s="84">
        <v>57600000</v>
      </c>
      <c r="F11" s="191"/>
    </row>
    <row r="12" spans="1:6">
      <c r="A12" s="79"/>
      <c r="B12" s="94" t="s">
        <v>43</v>
      </c>
      <c r="C12" s="83" t="s">
        <v>146</v>
      </c>
      <c r="D12" s="83" t="s">
        <v>162</v>
      </c>
      <c r="E12" s="84">
        <v>72000000</v>
      </c>
      <c r="F12" s="191"/>
    </row>
    <row r="13" spans="1:6">
      <c r="A13" s="80"/>
      <c r="B13" s="83" t="s">
        <v>106</v>
      </c>
      <c r="C13" s="83" t="s">
        <v>146</v>
      </c>
      <c r="D13" s="83" t="s">
        <v>163</v>
      </c>
      <c r="E13" s="84">
        <v>30000000</v>
      </c>
      <c r="F13" s="192"/>
    </row>
    <row r="14" spans="1:6" ht="19.5" customHeight="1">
      <c r="A14" s="95" t="s">
        <v>164</v>
      </c>
      <c r="B14" s="85" t="s">
        <v>165</v>
      </c>
      <c r="C14" s="85" t="s">
        <v>166</v>
      </c>
      <c r="D14" s="85" t="s">
        <v>167</v>
      </c>
      <c r="E14" s="87">
        <v>5000000</v>
      </c>
      <c r="F14" s="190">
        <v>2426080000</v>
      </c>
    </row>
    <row r="15" spans="1:6">
      <c r="A15" s="96"/>
      <c r="B15" s="83" t="s">
        <v>168</v>
      </c>
      <c r="C15" s="83" t="s">
        <v>166</v>
      </c>
      <c r="D15" s="83" t="s">
        <v>167</v>
      </c>
      <c r="E15" s="84">
        <v>60000000</v>
      </c>
      <c r="F15" s="191"/>
    </row>
    <row r="16" spans="1:6">
      <c r="A16" s="96"/>
      <c r="B16" s="83" t="s">
        <v>169</v>
      </c>
      <c r="C16" s="83" t="s">
        <v>166</v>
      </c>
      <c r="D16" s="83" t="s">
        <v>167</v>
      </c>
      <c r="E16" s="84">
        <v>1680000</v>
      </c>
      <c r="F16" s="191"/>
    </row>
    <row r="17" spans="1:6">
      <c r="A17" s="96"/>
      <c r="B17" s="83" t="s">
        <v>170</v>
      </c>
      <c r="C17" s="83" t="s">
        <v>166</v>
      </c>
      <c r="D17" s="83" t="s">
        <v>167</v>
      </c>
      <c r="E17" s="84">
        <v>7200000</v>
      </c>
      <c r="F17" s="191"/>
    </row>
    <row r="18" spans="1:6">
      <c r="A18" s="96"/>
      <c r="B18" s="83" t="s">
        <v>46</v>
      </c>
      <c r="C18" s="83" t="s">
        <v>166</v>
      </c>
      <c r="D18" s="83" t="s">
        <v>171</v>
      </c>
      <c r="E18" s="84">
        <v>259200000</v>
      </c>
      <c r="F18" s="191"/>
    </row>
    <row r="19" spans="1:6">
      <c r="A19" s="96"/>
      <c r="B19" s="83" t="s">
        <v>44</v>
      </c>
      <c r="C19" s="83" t="s">
        <v>166</v>
      </c>
      <c r="D19" s="83" t="s">
        <v>172</v>
      </c>
      <c r="E19" s="84">
        <v>40000000</v>
      </c>
      <c r="F19" s="191"/>
    </row>
    <row r="20" spans="1:6">
      <c r="A20" s="96"/>
      <c r="B20" s="83" t="s">
        <v>44</v>
      </c>
      <c r="C20" s="83" t="s">
        <v>146</v>
      </c>
      <c r="D20" s="83" t="s">
        <v>173</v>
      </c>
      <c r="E20" s="84">
        <v>25000000</v>
      </c>
      <c r="F20" s="191"/>
    </row>
    <row r="21" spans="1:6">
      <c r="A21" s="96"/>
      <c r="B21" s="94" t="s">
        <v>44</v>
      </c>
      <c r="C21" s="83" t="s">
        <v>146</v>
      </c>
      <c r="D21" s="83" t="s">
        <v>174</v>
      </c>
      <c r="E21" s="84">
        <v>560000000</v>
      </c>
      <c r="F21" s="191"/>
    </row>
    <row r="22" spans="1:6">
      <c r="A22" s="96"/>
      <c r="B22" s="94" t="s">
        <v>44</v>
      </c>
      <c r="C22" s="83" t="s">
        <v>146</v>
      </c>
      <c r="D22" s="83" t="s">
        <v>175</v>
      </c>
      <c r="E22" s="84">
        <v>1000000000</v>
      </c>
      <c r="F22" s="191"/>
    </row>
    <row r="23" spans="1:6">
      <c r="A23" s="96"/>
      <c r="B23" s="94" t="s">
        <v>44</v>
      </c>
      <c r="C23" s="83" t="s">
        <v>146</v>
      </c>
      <c r="D23" s="83" t="s">
        <v>176</v>
      </c>
      <c r="E23" s="84">
        <v>100000000</v>
      </c>
      <c r="F23" s="191"/>
    </row>
    <row r="24" spans="1:6">
      <c r="A24" s="96"/>
      <c r="B24" s="83" t="s">
        <v>43</v>
      </c>
      <c r="C24" s="83" t="s">
        <v>166</v>
      </c>
      <c r="D24" s="83" t="s">
        <v>177</v>
      </c>
      <c r="E24" s="84">
        <v>288000000</v>
      </c>
      <c r="F24" s="191"/>
    </row>
    <row r="25" spans="1:6">
      <c r="A25" s="96"/>
      <c r="B25" s="83" t="s">
        <v>46</v>
      </c>
      <c r="C25" s="83" t="s">
        <v>166</v>
      </c>
      <c r="D25" s="83" t="s">
        <v>178</v>
      </c>
      <c r="E25" s="84">
        <v>20000000</v>
      </c>
      <c r="F25" s="191"/>
    </row>
    <row r="26" spans="1:6">
      <c r="A26" s="96"/>
      <c r="B26" s="83" t="s">
        <v>133</v>
      </c>
      <c r="C26" s="83" t="s">
        <v>166</v>
      </c>
      <c r="D26" s="83" t="s">
        <v>179</v>
      </c>
      <c r="E26" s="84">
        <v>50000000</v>
      </c>
      <c r="F26" s="191"/>
    </row>
    <row r="27" spans="1:6">
      <c r="A27" s="97"/>
      <c r="B27" s="83" t="s">
        <v>106</v>
      </c>
      <c r="C27" s="83" t="s">
        <v>166</v>
      </c>
      <c r="D27" s="83" t="s">
        <v>180</v>
      </c>
      <c r="E27" s="84">
        <v>10000000</v>
      </c>
      <c r="F27" s="192"/>
    </row>
    <row r="28" spans="1:6" ht="48">
      <c r="A28" s="86" t="s">
        <v>236</v>
      </c>
      <c r="B28" s="94" t="s">
        <v>44</v>
      </c>
      <c r="C28" s="83" t="s">
        <v>181</v>
      </c>
      <c r="D28" s="83" t="s">
        <v>182</v>
      </c>
      <c r="E28" s="84">
        <v>50000000</v>
      </c>
      <c r="F28" s="190">
        <v>400000000</v>
      </c>
    </row>
    <row r="29" spans="1:6">
      <c r="A29" s="78"/>
      <c r="B29" s="94" t="s">
        <v>44</v>
      </c>
      <c r="C29" s="83" t="s">
        <v>181</v>
      </c>
      <c r="D29" s="83" t="s">
        <v>183</v>
      </c>
      <c r="E29" s="84">
        <v>50000000</v>
      </c>
      <c r="F29" s="191"/>
    </row>
    <row r="30" spans="1:6">
      <c r="A30" s="79"/>
      <c r="B30" s="83" t="s">
        <v>46</v>
      </c>
      <c r="C30" s="83" t="s">
        <v>181</v>
      </c>
      <c r="D30" s="83" t="s">
        <v>184</v>
      </c>
      <c r="E30" s="84">
        <v>230000000</v>
      </c>
      <c r="F30" s="191"/>
    </row>
    <row r="31" spans="1:6">
      <c r="A31" s="79"/>
      <c r="B31" s="83" t="s">
        <v>43</v>
      </c>
      <c r="C31" s="83" t="s">
        <v>181</v>
      </c>
      <c r="D31" s="83" t="s">
        <v>185</v>
      </c>
      <c r="E31" s="88" t="s">
        <v>186</v>
      </c>
      <c r="F31" s="191"/>
    </row>
    <row r="32" spans="1:6">
      <c r="A32" s="79"/>
      <c r="B32" s="83" t="s">
        <v>45</v>
      </c>
      <c r="C32" s="83" t="s">
        <v>181</v>
      </c>
      <c r="D32" s="83" t="s">
        <v>187</v>
      </c>
      <c r="E32" s="84">
        <v>20000000</v>
      </c>
      <c r="F32" s="191"/>
    </row>
    <row r="33" spans="1:6">
      <c r="A33" s="79"/>
      <c r="B33" s="83" t="s">
        <v>133</v>
      </c>
      <c r="C33" s="83" t="s">
        <v>181</v>
      </c>
      <c r="D33" s="83" t="s">
        <v>188</v>
      </c>
      <c r="E33" s="84">
        <v>40000000</v>
      </c>
      <c r="F33" s="191"/>
    </row>
    <row r="34" spans="1:6">
      <c r="A34" s="80"/>
      <c r="B34" s="83" t="s">
        <v>106</v>
      </c>
      <c r="C34" s="83" t="s">
        <v>181</v>
      </c>
      <c r="D34" s="83" t="s">
        <v>189</v>
      </c>
      <c r="E34" s="84">
        <v>10000000</v>
      </c>
      <c r="F34" s="192"/>
    </row>
    <row r="35" spans="1:6" ht="24">
      <c r="A35" s="89" t="s">
        <v>190</v>
      </c>
      <c r="B35" s="83" t="s">
        <v>191</v>
      </c>
      <c r="C35" s="83" t="s">
        <v>192</v>
      </c>
      <c r="D35" s="83" t="s">
        <v>193</v>
      </c>
      <c r="E35" s="84">
        <v>270000000</v>
      </c>
      <c r="F35" s="90">
        <v>270000000</v>
      </c>
    </row>
    <row r="36" spans="1:6" ht="16.5" customHeight="1">
      <c r="A36" s="95" t="s">
        <v>194</v>
      </c>
      <c r="B36" s="83" t="s">
        <v>195</v>
      </c>
      <c r="C36" s="83" t="s">
        <v>166</v>
      </c>
      <c r="D36" s="83" t="s">
        <v>196</v>
      </c>
      <c r="E36" s="84">
        <v>100000000</v>
      </c>
      <c r="F36" s="190">
        <v>660000000</v>
      </c>
    </row>
    <row r="37" spans="1:6">
      <c r="A37" s="96"/>
      <c r="B37" s="83" t="s">
        <v>46</v>
      </c>
      <c r="C37" s="83" t="s">
        <v>166</v>
      </c>
      <c r="D37" s="83" t="s">
        <v>197</v>
      </c>
      <c r="E37" s="84">
        <v>270000000</v>
      </c>
      <c r="F37" s="191"/>
    </row>
    <row r="38" spans="1:6">
      <c r="A38" s="96"/>
      <c r="B38" s="83" t="s">
        <v>44</v>
      </c>
      <c r="C38" s="83" t="s">
        <v>166</v>
      </c>
      <c r="D38" s="83" t="s">
        <v>198</v>
      </c>
      <c r="E38" s="84">
        <v>100000000</v>
      </c>
      <c r="F38" s="191"/>
    </row>
    <row r="39" spans="1:6">
      <c r="A39" s="96"/>
      <c r="B39" s="83" t="s">
        <v>43</v>
      </c>
      <c r="C39" s="83" t="s">
        <v>166</v>
      </c>
      <c r="D39" s="83" t="s">
        <v>197</v>
      </c>
      <c r="E39" s="84">
        <v>180000000</v>
      </c>
      <c r="F39" s="191"/>
    </row>
    <row r="40" spans="1:6">
      <c r="A40" s="97"/>
      <c r="B40" s="83" t="s">
        <v>106</v>
      </c>
      <c r="C40" s="83" t="s">
        <v>166</v>
      </c>
      <c r="D40" s="83" t="s">
        <v>199</v>
      </c>
      <c r="E40" s="84">
        <v>10000000</v>
      </c>
      <c r="F40" s="192"/>
    </row>
    <row r="41" spans="1:6" ht="16.5" customHeight="1">
      <c r="A41" s="95" t="s">
        <v>200</v>
      </c>
      <c r="B41" s="83" t="s">
        <v>44</v>
      </c>
      <c r="C41" s="83" t="s">
        <v>192</v>
      </c>
      <c r="D41" s="83" t="s">
        <v>201</v>
      </c>
      <c r="E41" s="84">
        <v>27000000</v>
      </c>
      <c r="F41" s="190">
        <v>234600000</v>
      </c>
    </row>
    <row r="42" spans="1:6">
      <c r="A42" s="96"/>
      <c r="B42" s="83" t="s">
        <v>46</v>
      </c>
      <c r="C42" s="83" t="s">
        <v>192</v>
      </c>
      <c r="D42" s="83" t="s">
        <v>202</v>
      </c>
      <c r="E42" s="84">
        <v>72000000</v>
      </c>
      <c r="F42" s="191"/>
    </row>
    <row r="43" spans="1:6">
      <c r="A43" s="96"/>
      <c r="B43" s="83" t="s">
        <v>43</v>
      </c>
      <c r="C43" s="83" t="s">
        <v>192</v>
      </c>
      <c r="D43" s="83" t="s">
        <v>203</v>
      </c>
      <c r="E43" s="84">
        <v>129600000</v>
      </c>
      <c r="F43" s="191"/>
    </row>
    <row r="44" spans="1:6">
      <c r="A44" s="97"/>
      <c r="B44" s="83" t="s">
        <v>106</v>
      </c>
      <c r="C44" s="83" t="s">
        <v>192</v>
      </c>
      <c r="D44" s="83" t="s">
        <v>204</v>
      </c>
      <c r="E44" s="84">
        <v>6000000</v>
      </c>
      <c r="F44" s="192"/>
    </row>
    <row r="45" spans="1:6" ht="16.5" customHeight="1">
      <c r="A45" s="95" t="s">
        <v>205</v>
      </c>
      <c r="B45" s="85" t="s">
        <v>165</v>
      </c>
      <c r="C45" s="85" t="s">
        <v>192</v>
      </c>
      <c r="D45" s="94" t="s">
        <v>231</v>
      </c>
      <c r="E45" s="87">
        <v>10000000</v>
      </c>
      <c r="F45" s="190">
        <v>912960000</v>
      </c>
    </row>
    <row r="46" spans="1:6">
      <c r="A46" s="96"/>
      <c r="B46" s="85" t="s">
        <v>168</v>
      </c>
      <c r="C46" s="85" t="s">
        <v>192</v>
      </c>
      <c r="D46" s="94" t="s">
        <v>231</v>
      </c>
      <c r="E46" s="87">
        <v>120000000</v>
      </c>
      <c r="F46" s="191"/>
    </row>
    <row r="47" spans="1:6" ht="16.5" customHeight="1">
      <c r="A47" s="96"/>
      <c r="B47" s="85" t="s">
        <v>169</v>
      </c>
      <c r="C47" s="85" t="s">
        <v>192</v>
      </c>
      <c r="D47" s="94" t="s">
        <v>231</v>
      </c>
      <c r="E47" s="87">
        <v>3360000</v>
      </c>
      <c r="F47" s="191"/>
    </row>
    <row r="48" spans="1:6" ht="16.5" customHeight="1">
      <c r="A48" s="96"/>
      <c r="B48" s="85" t="s">
        <v>170</v>
      </c>
      <c r="C48" s="85" t="s">
        <v>192</v>
      </c>
      <c r="D48" s="94" t="s">
        <v>231</v>
      </c>
      <c r="E48" s="87">
        <v>14400000</v>
      </c>
      <c r="F48" s="191"/>
    </row>
    <row r="49" spans="1:6">
      <c r="A49" s="96"/>
      <c r="B49" s="83" t="s">
        <v>43</v>
      </c>
      <c r="C49" s="83" t="s">
        <v>192</v>
      </c>
      <c r="D49" s="83" t="s">
        <v>206</v>
      </c>
      <c r="E49" s="84">
        <v>500000000</v>
      </c>
      <c r="F49" s="191"/>
    </row>
    <row r="50" spans="1:6">
      <c r="A50" s="96"/>
      <c r="B50" s="83" t="s">
        <v>43</v>
      </c>
      <c r="C50" s="83" t="s">
        <v>146</v>
      </c>
      <c r="D50" s="83" t="s">
        <v>207</v>
      </c>
      <c r="E50" s="84">
        <v>256200000</v>
      </c>
      <c r="F50" s="191"/>
    </row>
    <row r="51" spans="1:6">
      <c r="A51" s="97"/>
      <c r="B51" s="83" t="s">
        <v>46</v>
      </c>
      <c r="C51" s="83" t="s">
        <v>146</v>
      </c>
      <c r="D51" s="83" t="s">
        <v>208</v>
      </c>
      <c r="E51" s="84">
        <v>9000000</v>
      </c>
      <c r="F51" s="192"/>
    </row>
    <row r="52" spans="1:6" ht="16.5" customHeight="1">
      <c r="A52" s="95" t="s">
        <v>209</v>
      </c>
      <c r="B52" s="94" t="s">
        <v>44</v>
      </c>
      <c r="C52" s="85" t="s">
        <v>192</v>
      </c>
      <c r="D52" s="85" t="s">
        <v>232</v>
      </c>
      <c r="E52" s="87">
        <v>50000000</v>
      </c>
      <c r="F52" s="190">
        <v>1500000000</v>
      </c>
    </row>
    <row r="53" spans="1:6">
      <c r="A53" s="96"/>
      <c r="B53" s="83" t="s">
        <v>191</v>
      </c>
      <c r="C53" s="83" t="s">
        <v>192</v>
      </c>
      <c r="D53" s="83" t="s">
        <v>210</v>
      </c>
      <c r="E53" s="84">
        <v>1400000000</v>
      </c>
      <c r="F53" s="191"/>
    </row>
    <row r="54" spans="1:6">
      <c r="A54" s="97"/>
      <c r="B54" s="83" t="s">
        <v>133</v>
      </c>
      <c r="C54" s="83" t="s">
        <v>192</v>
      </c>
      <c r="D54" s="83" t="s">
        <v>211</v>
      </c>
      <c r="E54" s="84">
        <v>50000000</v>
      </c>
      <c r="F54" s="192"/>
    </row>
    <row r="55" spans="1:6" ht="16.5" customHeight="1">
      <c r="A55" s="95" t="s">
        <v>212</v>
      </c>
      <c r="B55" s="85" t="s">
        <v>191</v>
      </c>
      <c r="C55" s="85" t="s">
        <v>192</v>
      </c>
      <c r="D55" s="94" t="s">
        <v>213</v>
      </c>
      <c r="E55" s="87">
        <v>30000000</v>
      </c>
      <c r="F55" s="190">
        <v>80000000</v>
      </c>
    </row>
    <row r="56" spans="1:6">
      <c r="A56" s="97"/>
      <c r="B56" s="83" t="s">
        <v>133</v>
      </c>
      <c r="C56" s="83" t="s">
        <v>192</v>
      </c>
      <c r="D56" s="83" t="s">
        <v>214</v>
      </c>
      <c r="E56" s="84">
        <v>50000000</v>
      </c>
      <c r="F56" s="192"/>
    </row>
    <row r="57" spans="1:6" ht="16.5" customHeight="1">
      <c r="A57" s="98" t="s">
        <v>234</v>
      </c>
      <c r="B57" s="83" t="s">
        <v>215</v>
      </c>
      <c r="C57" s="83" t="s">
        <v>216</v>
      </c>
      <c r="D57" s="83" t="s">
        <v>217</v>
      </c>
      <c r="E57" s="84">
        <v>17460000</v>
      </c>
      <c r="F57" s="190">
        <v>137460000</v>
      </c>
    </row>
    <row r="58" spans="1:6" ht="16.5" customHeight="1">
      <c r="A58" s="99"/>
      <c r="B58" s="83" t="s">
        <v>100</v>
      </c>
      <c r="C58" s="83" t="s">
        <v>166</v>
      </c>
      <c r="D58" s="83" t="s">
        <v>218</v>
      </c>
      <c r="E58" s="84">
        <v>30000000</v>
      </c>
      <c r="F58" s="191"/>
    </row>
    <row r="59" spans="1:6">
      <c r="A59" s="91"/>
      <c r="B59" s="83" t="s">
        <v>219</v>
      </c>
      <c r="C59" s="83" t="s">
        <v>166</v>
      </c>
      <c r="D59" s="83" t="s">
        <v>220</v>
      </c>
      <c r="E59" s="84">
        <v>50000000</v>
      </c>
      <c r="F59" s="191"/>
    </row>
    <row r="60" spans="1:6">
      <c r="A60" s="91"/>
      <c r="B60" s="83" t="s">
        <v>191</v>
      </c>
      <c r="C60" s="83" t="s">
        <v>166</v>
      </c>
      <c r="D60" s="83" t="s">
        <v>221</v>
      </c>
      <c r="E60" s="84">
        <v>30000000</v>
      </c>
      <c r="F60" s="191"/>
    </row>
    <row r="61" spans="1:6">
      <c r="A61" s="92"/>
      <c r="B61" s="83" t="s">
        <v>106</v>
      </c>
      <c r="C61" s="83" t="s">
        <v>181</v>
      </c>
      <c r="D61" s="83" t="s">
        <v>222</v>
      </c>
      <c r="E61" s="84">
        <v>10000000</v>
      </c>
      <c r="F61" s="192"/>
    </row>
    <row r="62" spans="1:6">
      <c r="A62" s="98" t="s">
        <v>223</v>
      </c>
      <c r="B62" s="83" t="s">
        <v>224</v>
      </c>
      <c r="C62" s="83" t="s">
        <v>216</v>
      </c>
      <c r="D62" s="83" t="s">
        <v>225</v>
      </c>
      <c r="E62" s="84">
        <v>600000000</v>
      </c>
      <c r="F62" s="190">
        <v>2000000000</v>
      </c>
    </row>
    <row r="63" spans="1:6">
      <c r="A63" s="100"/>
      <c r="B63" s="83" t="s">
        <v>224</v>
      </c>
      <c r="C63" s="83" t="s">
        <v>216</v>
      </c>
      <c r="D63" s="83" t="s">
        <v>226</v>
      </c>
      <c r="E63" s="84">
        <v>350000000</v>
      </c>
      <c r="F63" s="191"/>
    </row>
    <row r="64" spans="1:6">
      <c r="A64" s="100"/>
      <c r="B64" s="83" t="s">
        <v>224</v>
      </c>
      <c r="C64" s="83" t="s">
        <v>216</v>
      </c>
      <c r="D64" s="83" t="s">
        <v>227</v>
      </c>
      <c r="E64" s="84">
        <v>200000000</v>
      </c>
      <c r="F64" s="191"/>
    </row>
    <row r="65" spans="1:6">
      <c r="A65" s="100"/>
      <c r="B65" s="83" t="s">
        <v>224</v>
      </c>
      <c r="C65" s="83" t="s">
        <v>216</v>
      </c>
      <c r="D65" s="83" t="s">
        <v>228</v>
      </c>
      <c r="E65" s="84">
        <v>350000000</v>
      </c>
      <c r="F65" s="191"/>
    </row>
    <row r="66" spans="1:6">
      <c r="A66" s="100"/>
      <c r="B66" s="83" t="s">
        <v>224</v>
      </c>
      <c r="C66" s="83" t="s">
        <v>216</v>
      </c>
      <c r="D66" s="83" t="s">
        <v>229</v>
      </c>
      <c r="E66" s="84">
        <v>200000000</v>
      </c>
      <c r="F66" s="191"/>
    </row>
    <row r="67" spans="1:6">
      <c r="A67" s="101"/>
      <c r="B67" s="83" t="s">
        <v>86</v>
      </c>
      <c r="C67" s="83" t="s">
        <v>216</v>
      </c>
      <c r="D67" s="83" t="s">
        <v>230</v>
      </c>
      <c r="E67" s="84">
        <v>300000000</v>
      </c>
      <c r="F67" s="192"/>
    </row>
    <row r="68" spans="1:6" ht="17.25" thickBot="1">
      <c r="A68" s="194"/>
      <c r="B68" s="194"/>
      <c r="C68" s="194"/>
      <c r="D68" s="195"/>
      <c r="E68" s="196">
        <v>10800000000</v>
      </c>
      <c r="F68" s="197"/>
    </row>
    <row r="69" spans="1:6" ht="17.25" thickTop="1"/>
  </sheetData>
  <mergeCells count="12">
    <mergeCell ref="F55:F56"/>
    <mergeCell ref="F41:F44"/>
    <mergeCell ref="F45:F51"/>
    <mergeCell ref="F62:F67"/>
    <mergeCell ref="A68:D68"/>
    <mergeCell ref="E68:F68"/>
    <mergeCell ref="F57:F61"/>
    <mergeCell ref="F28:F34"/>
    <mergeCell ref="F36:F40"/>
    <mergeCell ref="F2:F13"/>
    <mergeCell ref="F14:F27"/>
    <mergeCell ref="F52:F54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B35" sqref="B35"/>
    </sheetView>
  </sheetViews>
  <sheetFormatPr defaultRowHeight="16.5"/>
  <cols>
    <col min="1" max="1" width="15.125" customWidth="1"/>
    <col min="2" max="2" width="20.125" bestFit="1" customWidth="1"/>
    <col min="3" max="3" width="20.125" customWidth="1"/>
    <col min="4" max="4" width="17.875" bestFit="1" customWidth="1"/>
    <col min="5" max="5" width="17" customWidth="1"/>
    <col min="6" max="6" width="15.875" bestFit="1" customWidth="1"/>
    <col min="9" max="9" width="15.125" bestFit="1" customWidth="1"/>
    <col min="10" max="10" width="19.75" bestFit="1" customWidth="1"/>
    <col min="11" max="11" width="23.125" bestFit="1" customWidth="1"/>
  </cols>
  <sheetData>
    <row r="1" spans="1:6">
      <c r="A1" s="114" t="s">
        <v>241</v>
      </c>
      <c r="B1" s="114" t="s">
        <v>330</v>
      </c>
      <c r="C1" s="114" t="s">
        <v>344</v>
      </c>
      <c r="D1" s="114" t="s">
        <v>345</v>
      </c>
      <c r="E1" s="114" t="s">
        <v>346</v>
      </c>
      <c r="F1" s="114" t="s">
        <v>347</v>
      </c>
    </row>
    <row r="2" spans="1:6">
      <c r="A2" s="2" t="s">
        <v>168</v>
      </c>
      <c r="B2" s="112">
        <v>180000000</v>
      </c>
      <c r="C2" s="112">
        <v>60000000</v>
      </c>
      <c r="D2" s="112">
        <v>180000000</v>
      </c>
      <c r="E2" s="112">
        <f t="shared" ref="E2:E21" si="0">D2-B2</f>
        <v>0</v>
      </c>
      <c r="F2" s="125">
        <f>D2-C2</f>
        <v>120000000</v>
      </c>
    </row>
    <row r="3" spans="1:6">
      <c r="A3" s="2" t="s">
        <v>170</v>
      </c>
      <c r="B3" s="112">
        <v>21600000</v>
      </c>
      <c r="C3" s="112">
        <v>7200000</v>
      </c>
      <c r="D3" s="112">
        <v>21600000</v>
      </c>
      <c r="E3" s="112">
        <f t="shared" si="0"/>
        <v>0</v>
      </c>
      <c r="F3" s="125">
        <f t="shared" ref="F3:F21" si="1">D3-C3</f>
        <v>14400000</v>
      </c>
    </row>
    <row r="4" spans="1:6">
      <c r="A4" s="2" t="s">
        <v>169</v>
      </c>
      <c r="B4" s="112">
        <v>5040000</v>
      </c>
      <c r="C4" s="112">
        <v>1680000</v>
      </c>
      <c r="D4" s="112">
        <v>5040000</v>
      </c>
      <c r="E4" s="112">
        <f t="shared" si="0"/>
        <v>0</v>
      </c>
      <c r="F4" s="125">
        <f t="shared" si="1"/>
        <v>3360000</v>
      </c>
    </row>
    <row r="5" spans="1:6">
      <c r="A5" s="2" t="s">
        <v>46</v>
      </c>
      <c r="B5" s="112">
        <v>1098700000</v>
      </c>
      <c r="C5" s="112">
        <v>857500000</v>
      </c>
      <c r="D5" s="112">
        <v>856500000</v>
      </c>
      <c r="E5" s="112">
        <f t="shared" si="0"/>
        <v>-242200000</v>
      </c>
      <c r="F5" s="112">
        <f t="shared" si="1"/>
        <v>-1000000</v>
      </c>
    </row>
    <row r="6" spans="1:6">
      <c r="A6" s="2" t="s">
        <v>86</v>
      </c>
      <c r="B6" s="112">
        <v>300000000</v>
      </c>
      <c r="C6" s="112">
        <v>0</v>
      </c>
      <c r="D6" s="112">
        <v>300000000</v>
      </c>
      <c r="E6" s="112">
        <f t="shared" si="0"/>
        <v>0</v>
      </c>
      <c r="F6" s="112">
        <f t="shared" si="1"/>
        <v>300000000</v>
      </c>
    </row>
    <row r="7" spans="1:6">
      <c r="A7" s="2" t="s">
        <v>224</v>
      </c>
      <c r="B7" s="112">
        <v>1700000000</v>
      </c>
      <c r="C7" s="112">
        <v>350000000</v>
      </c>
      <c r="D7" s="112">
        <v>1480100000</v>
      </c>
      <c r="E7" s="112">
        <f t="shared" si="0"/>
        <v>-219900000</v>
      </c>
      <c r="F7" s="112">
        <f t="shared" si="1"/>
        <v>1130100000</v>
      </c>
    </row>
    <row r="8" spans="1:6">
      <c r="A8" s="2" t="s">
        <v>45</v>
      </c>
      <c r="B8" s="112">
        <v>20000000</v>
      </c>
      <c r="C8" s="112">
        <v>58980000</v>
      </c>
      <c r="D8" s="112">
        <v>20000000</v>
      </c>
      <c r="E8" s="112">
        <f t="shared" si="0"/>
        <v>0</v>
      </c>
      <c r="F8" s="112">
        <f t="shared" si="1"/>
        <v>-38980000</v>
      </c>
    </row>
    <row r="9" spans="1:6">
      <c r="A9" s="2" t="s">
        <v>328</v>
      </c>
      <c r="B9" s="112">
        <v>0</v>
      </c>
      <c r="C9" s="112">
        <v>216000000</v>
      </c>
      <c r="D9" s="112">
        <v>216000000</v>
      </c>
      <c r="E9" s="112">
        <f t="shared" si="0"/>
        <v>216000000</v>
      </c>
      <c r="F9" s="112">
        <f t="shared" si="1"/>
        <v>0</v>
      </c>
    </row>
    <row r="10" spans="1:6">
      <c r="A10" s="2" t="s">
        <v>43</v>
      </c>
      <c r="B10" s="112">
        <v>2664200000</v>
      </c>
      <c r="C10" s="112">
        <v>3118600000</v>
      </c>
      <c r="D10" s="112">
        <v>2805800000</v>
      </c>
      <c r="E10" s="112">
        <f t="shared" si="0"/>
        <v>141600000</v>
      </c>
      <c r="F10" s="112">
        <f t="shared" si="1"/>
        <v>-312800000</v>
      </c>
    </row>
    <row r="11" spans="1:6">
      <c r="A11" s="2" t="s">
        <v>215</v>
      </c>
      <c r="B11" s="112">
        <v>17460000</v>
      </c>
      <c r="C11" s="112">
        <v>0</v>
      </c>
      <c r="D11" s="112">
        <v>17460000</v>
      </c>
      <c r="E11" s="112">
        <f t="shared" si="0"/>
        <v>0</v>
      </c>
      <c r="F11" s="112">
        <f t="shared" si="1"/>
        <v>17460000</v>
      </c>
    </row>
    <row r="12" spans="1:6">
      <c r="A12" s="2" t="s">
        <v>195</v>
      </c>
      <c r="B12" s="112">
        <v>100000000</v>
      </c>
      <c r="C12" s="112">
        <v>100000000</v>
      </c>
      <c r="D12" s="112">
        <v>100000000</v>
      </c>
      <c r="E12" s="112">
        <f t="shared" si="0"/>
        <v>0</v>
      </c>
      <c r="F12" s="112">
        <f t="shared" si="1"/>
        <v>0</v>
      </c>
    </row>
    <row r="13" spans="1:6">
      <c r="A13" s="2" t="s">
        <v>44</v>
      </c>
      <c r="B13" s="112">
        <v>2602000000</v>
      </c>
      <c r="C13" s="112">
        <v>2979000000</v>
      </c>
      <c r="D13" s="112">
        <v>2585000000</v>
      </c>
      <c r="E13" s="112">
        <f t="shared" si="0"/>
        <v>-17000000</v>
      </c>
      <c r="F13" s="112">
        <f t="shared" si="1"/>
        <v>-394000000</v>
      </c>
    </row>
    <row r="14" spans="1:6">
      <c r="A14" s="2" t="s">
        <v>100</v>
      </c>
      <c r="B14" s="112">
        <v>30000000</v>
      </c>
      <c r="C14" s="112">
        <v>30000000</v>
      </c>
      <c r="D14" s="112">
        <v>138300000</v>
      </c>
      <c r="E14" s="112">
        <f t="shared" si="0"/>
        <v>108300000</v>
      </c>
      <c r="F14" s="112">
        <f t="shared" si="1"/>
        <v>108300000</v>
      </c>
    </row>
    <row r="15" spans="1:6">
      <c r="A15" s="2" t="s">
        <v>329</v>
      </c>
      <c r="B15" s="112">
        <v>0</v>
      </c>
      <c r="C15" s="112">
        <v>25200000</v>
      </c>
      <c r="D15" s="112">
        <v>25200000</v>
      </c>
      <c r="E15" s="112">
        <f t="shared" si="0"/>
        <v>25200000</v>
      </c>
      <c r="F15" s="112">
        <f t="shared" si="1"/>
        <v>0</v>
      </c>
    </row>
    <row r="16" spans="1:6">
      <c r="A16" s="2" t="s">
        <v>165</v>
      </c>
      <c r="B16" s="112">
        <v>15000000</v>
      </c>
      <c r="C16" s="112">
        <v>23000000</v>
      </c>
      <c r="D16" s="112">
        <v>33000000</v>
      </c>
      <c r="E16" s="112">
        <f t="shared" si="0"/>
        <v>18000000</v>
      </c>
      <c r="F16" s="112">
        <f t="shared" si="1"/>
        <v>10000000</v>
      </c>
    </row>
    <row r="17" spans="1:6">
      <c r="A17" s="2" t="s">
        <v>191</v>
      </c>
      <c r="B17" s="112">
        <v>1730000000</v>
      </c>
      <c r="C17" s="112">
        <v>2540000000</v>
      </c>
      <c r="D17" s="112">
        <v>1720000000</v>
      </c>
      <c r="E17" s="112">
        <f t="shared" si="0"/>
        <v>-10000000</v>
      </c>
      <c r="F17" s="112">
        <f t="shared" si="1"/>
        <v>-820000000</v>
      </c>
    </row>
    <row r="18" spans="1:6">
      <c r="A18" s="2" t="s">
        <v>133</v>
      </c>
      <c r="B18" s="112">
        <v>190000000</v>
      </c>
      <c r="C18" s="112">
        <v>300000000</v>
      </c>
      <c r="D18" s="112">
        <v>180000000</v>
      </c>
      <c r="E18" s="112">
        <f t="shared" si="0"/>
        <v>-10000000</v>
      </c>
      <c r="F18" s="112">
        <f t="shared" si="1"/>
        <v>-120000000</v>
      </c>
    </row>
    <row r="19" spans="1:6">
      <c r="A19" s="2" t="s">
        <v>219</v>
      </c>
      <c r="B19" s="112">
        <v>50000000</v>
      </c>
      <c r="C19" s="112">
        <v>50000000</v>
      </c>
      <c r="D19" s="112">
        <v>40000000</v>
      </c>
      <c r="E19" s="112">
        <f t="shared" si="0"/>
        <v>-10000000</v>
      </c>
      <c r="F19" s="112">
        <f t="shared" si="1"/>
        <v>-10000000</v>
      </c>
    </row>
    <row r="20" spans="1:6">
      <c r="A20" s="2" t="s">
        <v>106</v>
      </c>
      <c r="B20" s="112">
        <v>76000000</v>
      </c>
      <c r="C20" s="112">
        <v>82000000</v>
      </c>
      <c r="D20" s="112">
        <v>76000000</v>
      </c>
      <c r="E20" s="112">
        <f t="shared" si="0"/>
        <v>0</v>
      </c>
      <c r="F20" s="112">
        <f t="shared" si="1"/>
        <v>-6000000</v>
      </c>
    </row>
    <row r="21" spans="1:6">
      <c r="A21" s="2" t="s">
        <v>331</v>
      </c>
      <c r="B21" s="112">
        <v>0</v>
      </c>
      <c r="C21" s="112">
        <v>840000</v>
      </c>
      <c r="D21" s="112">
        <v>0</v>
      </c>
      <c r="E21" s="112">
        <f t="shared" si="0"/>
        <v>0</v>
      </c>
      <c r="F21" s="112">
        <f t="shared" si="1"/>
        <v>-840000</v>
      </c>
    </row>
    <row r="22" spans="1:6">
      <c r="A22" s="2" t="s">
        <v>242</v>
      </c>
      <c r="B22" s="112">
        <f>SUM(B2:B21)</f>
        <v>10800000000</v>
      </c>
      <c r="C22" s="112">
        <f>SUM(C2:C21)</f>
        <v>10800000000</v>
      </c>
      <c r="D22" s="112">
        <f>SUM(D2:D21)</f>
        <v>10800000000</v>
      </c>
      <c r="E22" s="112">
        <f>SUM(E2:E21)</f>
        <v>0</v>
      </c>
      <c r="F22" s="112">
        <f>SUM(F2:F21)</f>
        <v>0</v>
      </c>
    </row>
  </sheetData>
  <phoneticPr fontId="20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0"/>
  <sheetViews>
    <sheetView topLeftCell="H50" workbookViewId="0">
      <selection activeCell="H73" sqref="H73"/>
    </sheetView>
  </sheetViews>
  <sheetFormatPr defaultRowHeight="16.5"/>
  <cols>
    <col min="1" max="1" width="9.875" customWidth="1"/>
    <col min="2" max="2" width="11.375" bestFit="1" customWidth="1"/>
    <col min="3" max="3" width="34.125" bestFit="1" customWidth="1"/>
    <col min="4" max="4" width="6.75" bestFit="1" customWidth="1"/>
    <col min="5" max="5" width="13.125" bestFit="1" customWidth="1"/>
    <col min="6" max="6" width="15.625" bestFit="1" customWidth="1"/>
    <col min="7" max="7" width="15.625" customWidth="1"/>
    <col min="8" max="8" width="255.625" customWidth="1"/>
    <col min="9" max="10" width="17" customWidth="1"/>
    <col min="11" max="11" width="14.625" customWidth="1"/>
    <col min="12" max="12" width="17.75" customWidth="1"/>
    <col min="13" max="24" width="10.625" customWidth="1"/>
    <col min="25" max="26" width="12.25" bestFit="1" customWidth="1"/>
  </cols>
  <sheetData>
    <row r="1" spans="1:29" ht="16.5" customHeight="1">
      <c r="A1" s="208" t="s">
        <v>145</v>
      </c>
      <c r="B1" s="212" t="s">
        <v>361</v>
      </c>
      <c r="C1" s="200" t="s">
        <v>397</v>
      </c>
      <c r="D1" s="198" t="s">
        <v>240</v>
      </c>
      <c r="E1" s="200" t="s">
        <v>0</v>
      </c>
      <c r="F1" s="198" t="s">
        <v>315</v>
      </c>
      <c r="G1" s="210" t="s">
        <v>292</v>
      </c>
      <c r="H1" s="206" t="s">
        <v>239</v>
      </c>
      <c r="I1" s="198" t="s">
        <v>102</v>
      </c>
      <c r="J1" s="210" t="s">
        <v>68</v>
      </c>
      <c r="K1" s="198" t="s">
        <v>437</v>
      </c>
      <c r="L1" s="198" t="s">
        <v>63</v>
      </c>
      <c r="M1" s="198" t="s">
        <v>85</v>
      </c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 t="s">
        <v>39</v>
      </c>
      <c r="Z1" s="198" t="s">
        <v>40</v>
      </c>
      <c r="AA1" s="214" t="s">
        <v>41</v>
      </c>
      <c r="AB1" s="216" t="s">
        <v>13</v>
      </c>
    </row>
    <row r="2" spans="1:29">
      <c r="A2" s="209"/>
      <c r="B2" s="213"/>
      <c r="C2" s="201"/>
      <c r="D2" s="199"/>
      <c r="E2" s="201"/>
      <c r="F2" s="199"/>
      <c r="G2" s="211"/>
      <c r="H2" s="207"/>
      <c r="I2" s="199"/>
      <c r="J2" s="211"/>
      <c r="K2" s="199"/>
      <c r="L2" s="199"/>
      <c r="M2" s="103" t="s">
        <v>79</v>
      </c>
      <c r="N2" s="103" t="s">
        <v>80</v>
      </c>
      <c r="O2" s="103" t="s">
        <v>81</v>
      </c>
      <c r="P2" s="103" t="s">
        <v>82</v>
      </c>
      <c r="Q2" s="103" t="s">
        <v>83</v>
      </c>
      <c r="R2" s="103" t="s">
        <v>84</v>
      </c>
      <c r="S2" s="104" t="s">
        <v>7</v>
      </c>
      <c r="T2" s="104" t="s">
        <v>8</v>
      </c>
      <c r="U2" s="104" t="s">
        <v>9</v>
      </c>
      <c r="V2" s="104" t="s">
        <v>10</v>
      </c>
      <c r="W2" s="104" t="s">
        <v>11</v>
      </c>
      <c r="X2" s="104" t="s">
        <v>12</v>
      </c>
      <c r="Y2" s="202"/>
      <c r="Z2" s="202"/>
      <c r="AA2" s="215"/>
      <c r="AB2" s="217"/>
    </row>
    <row r="3" spans="1:29" s="2" customFormat="1">
      <c r="A3" s="139" t="s">
        <v>146</v>
      </c>
      <c r="B3" s="140" t="s">
        <v>367</v>
      </c>
      <c r="C3" s="24" t="s">
        <v>237</v>
      </c>
      <c r="D3" s="24" t="s">
        <v>244</v>
      </c>
      <c r="E3" s="24" t="s">
        <v>44</v>
      </c>
      <c r="F3" s="141">
        <v>200000000</v>
      </c>
      <c r="G3" s="141">
        <v>200000000</v>
      </c>
      <c r="H3" s="142" t="s">
        <v>245</v>
      </c>
      <c r="I3" s="143">
        <f>G3*0.7</f>
        <v>140000000</v>
      </c>
      <c r="J3" s="143"/>
      <c r="K3" s="48"/>
      <c r="L3" s="21">
        <f>SUM(I3:K3)</f>
        <v>140000000</v>
      </c>
      <c r="M3" s="21"/>
      <c r="N3" s="21"/>
      <c r="O3" s="21"/>
      <c r="P3" s="21"/>
      <c r="Q3" s="21"/>
      <c r="R3" s="21"/>
      <c r="S3" s="46"/>
      <c r="T3" s="46"/>
      <c r="U3" s="46"/>
      <c r="V3" s="46"/>
      <c r="W3" s="46"/>
      <c r="X3" s="46"/>
      <c r="Y3" s="46"/>
      <c r="Z3" s="46"/>
      <c r="AA3" s="47"/>
      <c r="AB3" s="50"/>
      <c r="AC3" s="102"/>
    </row>
    <row r="4" spans="1:29" s="2" customFormat="1">
      <c r="A4" s="139" t="s">
        <v>146</v>
      </c>
      <c r="B4" s="140" t="s">
        <v>367</v>
      </c>
      <c r="C4" s="24" t="str">
        <f t="shared" ref="C4:C14" si="0">C3</f>
        <v>베리타스 강좌 개발 및 운영</v>
      </c>
      <c r="D4" s="24" t="s">
        <v>244</v>
      </c>
      <c r="E4" s="24" t="s">
        <v>44</v>
      </c>
      <c r="F4" s="141">
        <v>200000000</v>
      </c>
      <c r="G4" s="141">
        <v>200000000</v>
      </c>
      <c r="H4" s="142" t="s">
        <v>246</v>
      </c>
      <c r="I4" s="143">
        <f t="shared" ref="I4:I67" si="1">G4*0.7</f>
        <v>140000000</v>
      </c>
      <c r="J4" s="143"/>
      <c r="K4" s="48"/>
      <c r="L4" s="21">
        <f t="shared" ref="L4:L67" si="2">SUM(I4:K4)</f>
        <v>140000000</v>
      </c>
      <c r="M4" s="21"/>
      <c r="N4" s="21"/>
      <c r="O4" s="21"/>
      <c r="P4" s="21"/>
      <c r="Q4" s="21"/>
      <c r="R4" s="21"/>
      <c r="S4" s="46"/>
      <c r="T4" s="46"/>
      <c r="U4" s="46"/>
      <c r="V4" s="46"/>
      <c r="W4" s="46"/>
      <c r="X4" s="46"/>
      <c r="Y4" s="46"/>
      <c r="Z4" s="46"/>
      <c r="AA4" s="47"/>
      <c r="AB4" s="50"/>
      <c r="AC4" s="102"/>
    </row>
    <row r="5" spans="1:29" s="2" customFormat="1">
      <c r="A5" s="139" t="s">
        <v>146</v>
      </c>
      <c r="B5" s="140" t="s">
        <v>367</v>
      </c>
      <c r="C5" s="24" t="str">
        <f t="shared" si="0"/>
        <v>베리타스 강좌 개발 및 운영</v>
      </c>
      <c r="D5" s="24" t="s">
        <v>244</v>
      </c>
      <c r="E5" s="24" t="s">
        <v>44</v>
      </c>
      <c r="F5" s="141">
        <v>100000000</v>
      </c>
      <c r="G5" s="141">
        <v>100000000</v>
      </c>
      <c r="H5" s="142" t="s">
        <v>247</v>
      </c>
      <c r="I5" s="143">
        <f t="shared" si="1"/>
        <v>70000000</v>
      </c>
      <c r="J5" s="143"/>
      <c r="K5" s="48"/>
      <c r="L5" s="21">
        <f t="shared" si="2"/>
        <v>70000000</v>
      </c>
      <c r="M5" s="21"/>
      <c r="N5" s="21"/>
      <c r="O5" s="21"/>
      <c r="P5" s="21"/>
      <c r="Q5" s="21"/>
      <c r="R5" s="21"/>
      <c r="S5" s="46"/>
      <c r="T5" s="46"/>
      <c r="U5" s="46"/>
      <c r="V5" s="46"/>
      <c r="W5" s="46"/>
      <c r="X5" s="46"/>
      <c r="Y5" s="46"/>
      <c r="Z5" s="46"/>
      <c r="AA5" s="47"/>
      <c r="AB5" s="50"/>
      <c r="AC5" s="102"/>
    </row>
    <row r="6" spans="1:29" s="2" customFormat="1">
      <c r="A6" s="139" t="s">
        <v>146</v>
      </c>
      <c r="B6" s="140" t="s">
        <v>367</v>
      </c>
      <c r="C6" s="24" t="str">
        <f t="shared" si="0"/>
        <v>베리타스 강좌 개발 및 운영</v>
      </c>
      <c r="D6" s="24" t="s">
        <v>244</v>
      </c>
      <c r="E6" s="24" t="s">
        <v>44</v>
      </c>
      <c r="F6" s="141">
        <v>100000000</v>
      </c>
      <c r="G6" s="141">
        <v>100000000</v>
      </c>
      <c r="H6" s="142" t="s">
        <v>248</v>
      </c>
      <c r="I6" s="143">
        <f t="shared" si="1"/>
        <v>70000000</v>
      </c>
      <c r="J6" s="143"/>
      <c r="K6" s="48"/>
      <c r="L6" s="21">
        <f t="shared" si="2"/>
        <v>70000000</v>
      </c>
      <c r="M6" s="21"/>
      <c r="N6" s="21"/>
      <c r="O6" s="21"/>
      <c r="P6" s="21"/>
      <c r="Q6" s="21"/>
      <c r="R6" s="21"/>
      <c r="S6" s="46"/>
      <c r="T6" s="46"/>
      <c r="U6" s="46"/>
      <c r="V6" s="46"/>
      <c r="W6" s="46"/>
      <c r="X6" s="46"/>
      <c r="Y6" s="46"/>
      <c r="Z6" s="46"/>
      <c r="AA6" s="47"/>
      <c r="AB6" s="50"/>
      <c r="AC6" s="102"/>
    </row>
    <row r="7" spans="1:29" s="2" customFormat="1">
      <c r="A7" s="139" t="s">
        <v>146</v>
      </c>
      <c r="B7" s="140" t="s">
        <v>367</v>
      </c>
      <c r="C7" s="24" t="str">
        <f t="shared" si="0"/>
        <v>베리타스 강좌 개발 및 운영</v>
      </c>
      <c r="D7" s="24" t="s">
        <v>244</v>
      </c>
      <c r="E7" s="24" t="s">
        <v>46</v>
      </c>
      <c r="F7" s="141">
        <v>162000000</v>
      </c>
      <c r="G7" s="141">
        <v>162000000</v>
      </c>
      <c r="H7" s="142" t="s">
        <v>249</v>
      </c>
      <c r="I7" s="143">
        <f t="shared" si="1"/>
        <v>113400000</v>
      </c>
      <c r="J7" s="143"/>
      <c r="K7" s="48"/>
      <c r="L7" s="21">
        <f t="shared" si="2"/>
        <v>113400000</v>
      </c>
      <c r="M7" s="21"/>
      <c r="N7" s="21"/>
      <c r="O7" s="21"/>
      <c r="P7" s="21"/>
      <c r="Q7" s="21"/>
      <c r="R7" s="21"/>
      <c r="S7" s="46"/>
      <c r="T7" s="46"/>
      <c r="U7" s="46"/>
      <c r="V7" s="46"/>
      <c r="W7" s="46"/>
      <c r="X7" s="46"/>
      <c r="Y7" s="46"/>
      <c r="Z7" s="46"/>
      <c r="AA7" s="47"/>
      <c r="AB7" s="50"/>
      <c r="AC7" s="102"/>
    </row>
    <row r="8" spans="1:29" s="2" customFormat="1">
      <c r="A8" s="139" t="s">
        <v>146</v>
      </c>
      <c r="B8" s="140" t="s">
        <v>367</v>
      </c>
      <c r="C8" s="24" t="str">
        <f t="shared" si="0"/>
        <v>베리타스 강좌 개발 및 운영</v>
      </c>
      <c r="D8" s="24" t="s">
        <v>244</v>
      </c>
      <c r="E8" s="24" t="s">
        <v>46</v>
      </c>
      <c r="F8" s="141">
        <v>67500000</v>
      </c>
      <c r="G8" s="141">
        <v>67500000</v>
      </c>
      <c r="H8" s="142" t="s">
        <v>250</v>
      </c>
      <c r="I8" s="143">
        <f t="shared" si="1"/>
        <v>47250000</v>
      </c>
      <c r="J8" s="143"/>
      <c r="K8" s="48"/>
      <c r="L8" s="21">
        <f t="shared" si="2"/>
        <v>47250000</v>
      </c>
      <c r="M8" s="21"/>
      <c r="N8" s="21"/>
      <c r="O8" s="21"/>
      <c r="P8" s="21"/>
      <c r="Q8" s="21"/>
      <c r="R8" s="21"/>
      <c r="S8" s="46"/>
      <c r="T8" s="46"/>
      <c r="U8" s="46"/>
      <c r="V8" s="46"/>
      <c r="W8" s="46"/>
      <c r="X8" s="46"/>
      <c r="Y8" s="46"/>
      <c r="Z8" s="46"/>
      <c r="AA8" s="47"/>
      <c r="AB8" s="50"/>
      <c r="AC8" s="102"/>
    </row>
    <row r="9" spans="1:29" s="2" customFormat="1">
      <c r="A9" s="139" t="s">
        <v>146</v>
      </c>
      <c r="B9" s="140" t="s">
        <v>367</v>
      </c>
      <c r="C9" s="24" t="str">
        <f t="shared" si="0"/>
        <v>베리타스 강좌 개발 및 운영</v>
      </c>
      <c r="D9" s="24" t="s">
        <v>244</v>
      </c>
      <c r="E9" s="24" t="s">
        <v>46</v>
      </c>
      <c r="F9" s="141">
        <v>9000000</v>
      </c>
      <c r="G9" s="141">
        <v>9000000</v>
      </c>
      <c r="H9" s="142" t="s">
        <v>251</v>
      </c>
      <c r="I9" s="143">
        <f t="shared" si="1"/>
        <v>6300000</v>
      </c>
      <c r="J9" s="143"/>
      <c r="K9" s="48"/>
      <c r="L9" s="21">
        <f t="shared" si="2"/>
        <v>6300000</v>
      </c>
      <c r="M9" s="21"/>
      <c r="N9" s="21"/>
      <c r="O9" s="21"/>
      <c r="P9" s="21"/>
      <c r="Q9" s="21"/>
      <c r="R9" s="21"/>
      <c r="S9" s="46"/>
      <c r="T9" s="46"/>
      <c r="U9" s="46"/>
      <c r="V9" s="46"/>
      <c r="W9" s="46"/>
      <c r="X9" s="46"/>
      <c r="Y9" s="46"/>
      <c r="Z9" s="46"/>
      <c r="AA9" s="47"/>
      <c r="AB9" s="50"/>
      <c r="AC9" s="102"/>
    </row>
    <row r="10" spans="1:29" s="2" customFormat="1">
      <c r="A10" s="139" t="s">
        <v>146</v>
      </c>
      <c r="B10" s="140" t="s">
        <v>367</v>
      </c>
      <c r="C10" s="24" t="str">
        <f t="shared" si="0"/>
        <v>베리타스 강좌 개발 및 운영</v>
      </c>
      <c r="D10" s="24" t="s">
        <v>244</v>
      </c>
      <c r="E10" s="24" t="s">
        <v>43</v>
      </c>
      <c r="F10" s="141">
        <v>1036800000</v>
      </c>
      <c r="G10" s="141">
        <v>1036800000</v>
      </c>
      <c r="H10" s="142" t="s">
        <v>252</v>
      </c>
      <c r="I10" s="143">
        <f t="shared" si="1"/>
        <v>725760000</v>
      </c>
      <c r="J10" s="143"/>
      <c r="K10" s="48"/>
      <c r="L10" s="21">
        <f t="shared" si="2"/>
        <v>725760000</v>
      </c>
      <c r="M10" s="21"/>
      <c r="N10" s="21"/>
      <c r="O10" s="21"/>
      <c r="P10" s="21"/>
      <c r="Q10" s="21"/>
      <c r="R10" s="21"/>
      <c r="S10" s="46"/>
      <c r="T10" s="46"/>
      <c r="U10" s="46"/>
      <c r="V10" s="46"/>
      <c r="W10" s="46"/>
      <c r="X10" s="46"/>
      <c r="Y10" s="46"/>
      <c r="Z10" s="46"/>
      <c r="AA10" s="47"/>
      <c r="AB10" s="50"/>
      <c r="AC10" s="102"/>
    </row>
    <row r="11" spans="1:29" s="2" customFormat="1">
      <c r="A11" s="139" t="s">
        <v>146</v>
      </c>
      <c r="B11" s="140" t="s">
        <v>367</v>
      </c>
      <c r="C11" s="24" t="str">
        <f t="shared" si="0"/>
        <v>베리타스 강좌 개발 및 운영</v>
      </c>
      <c r="D11" s="24" t="s">
        <v>244</v>
      </c>
      <c r="E11" s="24" t="s">
        <v>43</v>
      </c>
      <c r="F11" s="141">
        <v>144000000</v>
      </c>
      <c r="G11" s="141">
        <v>144000000</v>
      </c>
      <c r="H11" s="142" t="s">
        <v>253</v>
      </c>
      <c r="I11" s="143">
        <f t="shared" si="1"/>
        <v>100800000</v>
      </c>
      <c r="J11" s="143"/>
      <c r="K11" s="48"/>
      <c r="L11" s="21">
        <f t="shared" si="2"/>
        <v>100800000</v>
      </c>
      <c r="M11" s="21"/>
      <c r="N11" s="21"/>
      <c r="O11" s="21"/>
      <c r="P11" s="21"/>
      <c r="Q11" s="21"/>
      <c r="R11" s="21"/>
      <c r="S11" s="46"/>
      <c r="T11" s="46"/>
      <c r="U11" s="46"/>
      <c r="V11" s="46"/>
      <c r="W11" s="46"/>
      <c r="X11" s="46"/>
      <c r="Y11" s="46"/>
      <c r="Z11" s="46"/>
      <c r="AA11" s="47"/>
      <c r="AB11" s="50"/>
      <c r="AC11" s="102"/>
    </row>
    <row r="12" spans="1:29" s="2" customFormat="1">
      <c r="A12" s="139" t="s">
        <v>146</v>
      </c>
      <c r="B12" s="140" t="s">
        <v>367</v>
      </c>
      <c r="C12" s="24" t="str">
        <f t="shared" si="0"/>
        <v>베리타스 강좌 개발 및 운영</v>
      </c>
      <c r="D12" s="24" t="s">
        <v>244</v>
      </c>
      <c r="E12" s="24" t="s">
        <v>43</v>
      </c>
      <c r="F12" s="141">
        <v>57600000</v>
      </c>
      <c r="G12" s="141">
        <v>57600000</v>
      </c>
      <c r="H12" s="142" t="s">
        <v>254</v>
      </c>
      <c r="I12" s="143">
        <f t="shared" si="1"/>
        <v>40320000</v>
      </c>
      <c r="J12" s="143"/>
      <c r="K12" s="48"/>
      <c r="L12" s="21">
        <f t="shared" si="2"/>
        <v>40320000</v>
      </c>
      <c r="M12" s="21"/>
      <c r="N12" s="21"/>
      <c r="O12" s="21"/>
      <c r="P12" s="21"/>
      <c r="Q12" s="21"/>
      <c r="R12" s="21"/>
      <c r="S12" s="46"/>
      <c r="T12" s="46"/>
      <c r="U12" s="46"/>
      <c r="V12" s="46"/>
      <c r="W12" s="46"/>
      <c r="X12" s="46"/>
      <c r="Y12" s="46"/>
      <c r="Z12" s="46"/>
      <c r="AA12" s="47"/>
      <c r="AB12" s="50"/>
      <c r="AC12" s="102"/>
    </row>
    <row r="13" spans="1:29" s="2" customFormat="1">
      <c r="A13" s="139" t="s">
        <v>146</v>
      </c>
      <c r="B13" s="140" t="s">
        <v>367</v>
      </c>
      <c r="C13" s="24" t="str">
        <f t="shared" si="0"/>
        <v>베리타스 강좌 개발 및 운영</v>
      </c>
      <c r="D13" s="24" t="s">
        <v>244</v>
      </c>
      <c r="E13" s="24" t="s">
        <v>43</v>
      </c>
      <c r="F13" s="141">
        <v>72000000</v>
      </c>
      <c r="G13" s="141">
        <v>72000000</v>
      </c>
      <c r="H13" s="142" t="s">
        <v>255</v>
      </c>
      <c r="I13" s="143">
        <f t="shared" si="1"/>
        <v>50400000</v>
      </c>
      <c r="J13" s="143"/>
      <c r="K13" s="48"/>
      <c r="L13" s="21">
        <f t="shared" si="2"/>
        <v>50400000</v>
      </c>
      <c r="M13" s="21"/>
      <c r="N13" s="21"/>
      <c r="O13" s="21"/>
      <c r="P13" s="21"/>
      <c r="Q13" s="21"/>
      <c r="R13" s="21"/>
      <c r="S13" s="46"/>
      <c r="T13" s="46"/>
      <c r="U13" s="46"/>
      <c r="V13" s="46"/>
      <c r="W13" s="46"/>
      <c r="X13" s="46"/>
      <c r="Y13" s="46"/>
      <c r="Z13" s="46"/>
      <c r="AA13" s="47"/>
      <c r="AB13" s="50"/>
      <c r="AC13" s="102"/>
    </row>
    <row r="14" spans="1:29" s="2" customFormat="1">
      <c r="A14" s="139" t="s">
        <v>146</v>
      </c>
      <c r="B14" s="140" t="s">
        <v>367</v>
      </c>
      <c r="C14" s="24" t="str">
        <f t="shared" si="0"/>
        <v>베리타스 강좌 개발 및 운영</v>
      </c>
      <c r="D14" s="24" t="s">
        <v>244</v>
      </c>
      <c r="E14" s="24" t="s">
        <v>106</v>
      </c>
      <c r="F14" s="141">
        <v>30000000</v>
      </c>
      <c r="G14" s="141">
        <v>30000000</v>
      </c>
      <c r="H14" s="142" t="s">
        <v>256</v>
      </c>
      <c r="I14" s="143">
        <f t="shared" si="1"/>
        <v>21000000</v>
      </c>
      <c r="J14" s="143"/>
      <c r="K14" s="48"/>
      <c r="L14" s="21">
        <f t="shared" si="2"/>
        <v>21000000</v>
      </c>
      <c r="M14" s="21"/>
      <c r="N14" s="21"/>
      <c r="O14" s="21"/>
      <c r="P14" s="21"/>
      <c r="Q14" s="21"/>
      <c r="R14" s="21"/>
      <c r="S14" s="46"/>
      <c r="T14" s="46"/>
      <c r="U14" s="46"/>
      <c r="V14" s="46"/>
      <c r="W14" s="46"/>
      <c r="X14" s="46"/>
      <c r="Y14" s="46"/>
      <c r="Z14" s="46"/>
      <c r="AA14" s="47"/>
      <c r="AB14" s="50"/>
      <c r="AC14" s="102"/>
    </row>
    <row r="15" spans="1:29" s="2" customFormat="1">
      <c r="A15" s="139" t="s">
        <v>166</v>
      </c>
      <c r="B15" s="140" t="s">
        <v>362</v>
      </c>
      <c r="C15" s="24" t="s">
        <v>164</v>
      </c>
      <c r="D15" s="24" t="s">
        <v>282</v>
      </c>
      <c r="E15" s="24" t="s">
        <v>165</v>
      </c>
      <c r="F15" s="141">
        <v>5000000</v>
      </c>
      <c r="G15" s="141">
        <v>5000000</v>
      </c>
      <c r="H15" s="142" t="s">
        <v>303</v>
      </c>
      <c r="I15" s="143">
        <f t="shared" si="1"/>
        <v>3500000</v>
      </c>
      <c r="J15" s="143"/>
      <c r="K15" s="48"/>
      <c r="L15" s="21">
        <f t="shared" si="2"/>
        <v>3500000</v>
      </c>
      <c r="M15" s="21"/>
      <c r="N15" s="21"/>
      <c r="O15" s="21"/>
      <c r="P15" s="21"/>
      <c r="Q15" s="21"/>
      <c r="R15" s="21"/>
      <c r="S15" s="46"/>
      <c r="T15" s="46"/>
      <c r="U15" s="46"/>
      <c r="V15" s="46"/>
      <c r="W15" s="46"/>
      <c r="X15" s="46"/>
      <c r="Y15" s="46"/>
      <c r="Z15" s="46"/>
      <c r="AA15" s="47"/>
      <c r="AB15" s="50"/>
      <c r="AC15" s="102"/>
    </row>
    <row r="16" spans="1:29" s="2" customFormat="1">
      <c r="A16" s="139" t="s">
        <v>166</v>
      </c>
      <c r="B16" s="140" t="s">
        <v>362</v>
      </c>
      <c r="C16" s="24" t="str">
        <f t="shared" ref="C16:C28" si="3">C15</f>
        <v>학부대학 핵심 강좌 내실화</v>
      </c>
      <c r="D16" s="24" t="s">
        <v>282</v>
      </c>
      <c r="E16" s="24" t="s">
        <v>168</v>
      </c>
      <c r="F16" s="141">
        <v>60000000</v>
      </c>
      <c r="G16" s="141">
        <v>60000000</v>
      </c>
      <c r="H16" s="142" t="s">
        <v>304</v>
      </c>
      <c r="I16" s="143">
        <f t="shared" si="1"/>
        <v>42000000</v>
      </c>
      <c r="J16" s="143"/>
      <c r="K16" s="48"/>
      <c r="L16" s="21">
        <f t="shared" si="2"/>
        <v>42000000</v>
      </c>
      <c r="M16" s="21"/>
      <c r="N16" s="21"/>
      <c r="O16" s="21"/>
      <c r="P16" s="21"/>
      <c r="Q16" s="21"/>
      <c r="R16" s="21"/>
      <c r="S16" s="46"/>
      <c r="T16" s="46"/>
      <c r="U16" s="46"/>
      <c r="V16" s="46"/>
      <c r="W16" s="46"/>
      <c r="X16" s="46"/>
      <c r="Y16" s="46"/>
      <c r="Z16" s="46"/>
      <c r="AA16" s="47"/>
      <c r="AB16" s="50"/>
      <c r="AC16" s="102"/>
    </row>
    <row r="17" spans="1:29" s="2" customFormat="1">
      <c r="A17" s="139" t="s">
        <v>166</v>
      </c>
      <c r="B17" s="140" t="s">
        <v>362</v>
      </c>
      <c r="C17" s="24" t="str">
        <f t="shared" si="3"/>
        <v>학부대학 핵심 강좌 내실화</v>
      </c>
      <c r="D17" s="24" t="s">
        <v>282</v>
      </c>
      <c r="E17" s="24" t="s">
        <v>169</v>
      </c>
      <c r="F17" s="141">
        <v>1680000</v>
      </c>
      <c r="G17" s="141">
        <v>1680000</v>
      </c>
      <c r="H17" s="142" t="s">
        <v>305</v>
      </c>
      <c r="I17" s="143">
        <f t="shared" si="1"/>
        <v>1176000</v>
      </c>
      <c r="J17" s="143"/>
      <c r="K17" s="48"/>
      <c r="L17" s="21">
        <f t="shared" si="2"/>
        <v>1176000</v>
      </c>
      <c r="M17" s="21"/>
      <c r="N17" s="21"/>
      <c r="O17" s="21"/>
      <c r="P17" s="21"/>
      <c r="Q17" s="21"/>
      <c r="R17" s="21"/>
      <c r="S17" s="46"/>
      <c r="T17" s="46"/>
      <c r="U17" s="46"/>
      <c r="V17" s="46"/>
      <c r="W17" s="46"/>
      <c r="X17" s="46"/>
      <c r="Y17" s="46"/>
      <c r="Z17" s="46"/>
      <c r="AA17" s="47"/>
      <c r="AB17" s="50"/>
      <c r="AC17" s="102"/>
    </row>
    <row r="18" spans="1:29" s="2" customFormat="1">
      <c r="A18" s="139" t="s">
        <v>166</v>
      </c>
      <c r="B18" s="140" t="s">
        <v>362</v>
      </c>
      <c r="C18" s="24" t="str">
        <f t="shared" si="3"/>
        <v>학부대학 핵심 강좌 내실화</v>
      </c>
      <c r="D18" s="24" t="s">
        <v>282</v>
      </c>
      <c r="E18" s="24" t="s">
        <v>170</v>
      </c>
      <c r="F18" s="141">
        <v>7200000</v>
      </c>
      <c r="G18" s="141">
        <v>7200000</v>
      </c>
      <c r="H18" s="142" t="s">
        <v>306</v>
      </c>
      <c r="I18" s="143">
        <f t="shared" si="1"/>
        <v>5040000</v>
      </c>
      <c r="J18" s="143"/>
      <c r="K18" s="48"/>
      <c r="L18" s="21">
        <f t="shared" si="2"/>
        <v>5040000</v>
      </c>
      <c r="M18" s="21"/>
      <c r="N18" s="21"/>
      <c r="O18" s="21"/>
      <c r="P18" s="21"/>
      <c r="Q18" s="21"/>
      <c r="R18" s="21"/>
      <c r="S18" s="46"/>
      <c r="T18" s="46"/>
      <c r="U18" s="46"/>
      <c r="V18" s="46"/>
      <c r="W18" s="46"/>
      <c r="X18" s="46"/>
      <c r="Y18" s="46"/>
      <c r="Z18" s="46"/>
      <c r="AA18" s="47"/>
      <c r="AB18" s="50"/>
      <c r="AC18" s="102"/>
    </row>
    <row r="19" spans="1:29" s="2" customFormat="1">
      <c r="A19" s="139" t="s">
        <v>166</v>
      </c>
      <c r="B19" s="140" t="s">
        <v>362</v>
      </c>
      <c r="C19" s="24" t="str">
        <f t="shared" si="3"/>
        <v>학부대학 핵심 강좌 내실화</v>
      </c>
      <c r="D19" s="24" t="s">
        <v>283</v>
      </c>
      <c r="E19" s="24" t="s">
        <v>46</v>
      </c>
      <c r="F19" s="141">
        <v>259200000</v>
      </c>
      <c r="G19" s="141">
        <v>0</v>
      </c>
      <c r="H19" s="144" t="s">
        <v>348</v>
      </c>
      <c r="I19" s="143">
        <f t="shared" si="1"/>
        <v>0</v>
      </c>
      <c r="J19" s="143"/>
      <c r="K19" s="48"/>
      <c r="L19" s="21">
        <f t="shared" si="2"/>
        <v>0</v>
      </c>
      <c r="M19" s="21"/>
      <c r="N19" s="21"/>
      <c r="O19" s="21"/>
      <c r="P19" s="21"/>
      <c r="Q19" s="21"/>
      <c r="R19" s="21"/>
      <c r="S19" s="46"/>
      <c r="T19" s="46"/>
      <c r="U19" s="46"/>
      <c r="V19" s="46"/>
      <c r="W19" s="46"/>
      <c r="X19" s="46"/>
      <c r="Y19" s="46"/>
      <c r="Z19" s="46"/>
      <c r="AA19" s="47"/>
      <c r="AB19" s="50"/>
      <c r="AC19" s="102"/>
    </row>
    <row r="20" spans="1:29" s="2" customFormat="1" ht="24">
      <c r="A20" s="139" t="s">
        <v>166</v>
      </c>
      <c r="B20" s="140" t="s">
        <v>362</v>
      </c>
      <c r="C20" s="24" t="str">
        <f t="shared" si="3"/>
        <v>학부대학 핵심 강좌 내실화</v>
      </c>
      <c r="D20" s="24" t="s">
        <v>283</v>
      </c>
      <c r="E20" s="24" t="s">
        <v>44</v>
      </c>
      <c r="F20" s="141">
        <v>40000000</v>
      </c>
      <c r="G20" s="141">
        <v>40000000</v>
      </c>
      <c r="H20" s="144" t="s">
        <v>286</v>
      </c>
      <c r="I20" s="143">
        <f t="shared" si="1"/>
        <v>28000000</v>
      </c>
      <c r="J20" s="143"/>
      <c r="K20" s="48"/>
      <c r="L20" s="21">
        <f t="shared" si="2"/>
        <v>28000000</v>
      </c>
      <c r="M20" s="21"/>
      <c r="N20" s="21"/>
      <c r="O20" s="21"/>
      <c r="P20" s="21"/>
      <c r="Q20" s="21"/>
      <c r="R20" s="21"/>
      <c r="S20" s="46"/>
      <c r="T20" s="46"/>
      <c r="U20" s="46"/>
      <c r="V20" s="46"/>
      <c r="W20" s="46"/>
      <c r="X20" s="46"/>
      <c r="Y20" s="46"/>
      <c r="Z20" s="46"/>
      <c r="AA20" s="47"/>
      <c r="AB20" s="50"/>
      <c r="AC20" s="102"/>
    </row>
    <row r="21" spans="1:29" s="2" customFormat="1">
      <c r="A21" s="139" t="s">
        <v>146</v>
      </c>
      <c r="B21" s="140" t="s">
        <v>362</v>
      </c>
      <c r="C21" s="24" t="str">
        <f t="shared" si="3"/>
        <v>학부대학 핵심 강좌 내실화</v>
      </c>
      <c r="D21" s="24" t="s">
        <v>257</v>
      </c>
      <c r="E21" s="24" t="s">
        <v>44</v>
      </c>
      <c r="F21" s="141">
        <v>25000000</v>
      </c>
      <c r="G21" s="141">
        <v>25000000</v>
      </c>
      <c r="H21" s="142" t="s">
        <v>258</v>
      </c>
      <c r="I21" s="143">
        <f t="shared" si="1"/>
        <v>17500000</v>
      </c>
      <c r="J21" s="143"/>
      <c r="K21" s="48"/>
      <c r="L21" s="21">
        <f t="shared" si="2"/>
        <v>17500000</v>
      </c>
      <c r="M21" s="21"/>
      <c r="N21" s="21"/>
      <c r="O21" s="21"/>
      <c r="P21" s="21"/>
      <c r="Q21" s="21"/>
      <c r="R21" s="21"/>
      <c r="S21" s="46"/>
      <c r="T21" s="46"/>
      <c r="U21" s="46"/>
      <c r="V21" s="46"/>
      <c r="W21" s="46"/>
      <c r="X21" s="46"/>
      <c r="Y21" s="46"/>
      <c r="Z21" s="46"/>
      <c r="AA21" s="47"/>
      <c r="AB21" s="50"/>
      <c r="AC21" s="102"/>
    </row>
    <row r="22" spans="1:29" s="2" customFormat="1">
      <c r="A22" s="139" t="s">
        <v>146</v>
      </c>
      <c r="B22" s="140" t="s">
        <v>362</v>
      </c>
      <c r="C22" s="24" t="str">
        <f t="shared" si="3"/>
        <v>학부대학 핵심 강좌 내실화</v>
      </c>
      <c r="D22" s="24" t="s">
        <v>257</v>
      </c>
      <c r="E22" s="24" t="s">
        <v>44</v>
      </c>
      <c r="F22" s="141">
        <v>560000000</v>
      </c>
      <c r="G22" s="141">
        <v>560000000</v>
      </c>
      <c r="H22" s="142" t="s">
        <v>259</v>
      </c>
      <c r="I22" s="143">
        <f t="shared" si="1"/>
        <v>392000000</v>
      </c>
      <c r="J22" s="143"/>
      <c r="K22" s="48"/>
      <c r="L22" s="21">
        <f t="shared" si="2"/>
        <v>392000000</v>
      </c>
      <c r="M22" s="21"/>
      <c r="N22" s="21"/>
      <c r="O22" s="21"/>
      <c r="P22" s="21"/>
      <c r="Q22" s="21"/>
      <c r="R22" s="21"/>
      <c r="S22" s="46"/>
      <c r="T22" s="46"/>
      <c r="U22" s="46"/>
      <c r="V22" s="46"/>
      <c r="W22" s="46"/>
      <c r="X22" s="46"/>
      <c r="Y22" s="46"/>
      <c r="Z22" s="46"/>
      <c r="AA22" s="47"/>
      <c r="AB22" s="50"/>
      <c r="AC22" s="102"/>
    </row>
    <row r="23" spans="1:29" s="2" customFormat="1">
      <c r="A23" s="139" t="s">
        <v>146</v>
      </c>
      <c r="B23" s="140" t="s">
        <v>362</v>
      </c>
      <c r="C23" s="24" t="str">
        <f t="shared" si="3"/>
        <v>학부대학 핵심 강좌 내실화</v>
      </c>
      <c r="D23" s="24" t="s">
        <v>257</v>
      </c>
      <c r="E23" s="24" t="s">
        <v>44</v>
      </c>
      <c r="F23" s="141">
        <v>1000000000</v>
      </c>
      <c r="G23" s="141">
        <v>1000000000</v>
      </c>
      <c r="H23" s="142" t="s">
        <v>260</v>
      </c>
      <c r="I23" s="143">
        <f t="shared" si="1"/>
        <v>700000000</v>
      </c>
      <c r="J23" s="143"/>
      <c r="K23" s="48"/>
      <c r="L23" s="21">
        <f t="shared" si="2"/>
        <v>700000000</v>
      </c>
      <c r="M23" s="21"/>
      <c r="N23" s="21"/>
      <c r="O23" s="21"/>
      <c r="P23" s="21"/>
      <c r="Q23" s="21"/>
      <c r="R23" s="21"/>
      <c r="S23" s="46"/>
      <c r="T23" s="46"/>
      <c r="U23" s="46"/>
      <c r="V23" s="46"/>
      <c r="W23" s="46"/>
      <c r="X23" s="46"/>
      <c r="Y23" s="46"/>
      <c r="Z23" s="46"/>
      <c r="AA23" s="47"/>
      <c r="AB23" s="50"/>
      <c r="AC23" s="102"/>
    </row>
    <row r="24" spans="1:29" s="2" customFormat="1">
      <c r="A24" s="139" t="s">
        <v>146</v>
      </c>
      <c r="B24" s="140" t="s">
        <v>362</v>
      </c>
      <c r="C24" s="24" t="str">
        <f t="shared" si="3"/>
        <v>학부대학 핵심 강좌 내실화</v>
      </c>
      <c r="D24" s="24" t="s">
        <v>257</v>
      </c>
      <c r="E24" s="24" t="s">
        <v>44</v>
      </c>
      <c r="F24" s="141">
        <v>100000000</v>
      </c>
      <c r="G24" s="141">
        <v>100000000</v>
      </c>
      <c r="H24" s="142" t="s">
        <v>261</v>
      </c>
      <c r="I24" s="143">
        <f t="shared" si="1"/>
        <v>70000000</v>
      </c>
      <c r="J24" s="143"/>
      <c r="K24" s="48"/>
      <c r="L24" s="21">
        <f t="shared" si="2"/>
        <v>70000000</v>
      </c>
      <c r="M24" s="21"/>
      <c r="N24" s="21"/>
      <c r="O24" s="21"/>
      <c r="P24" s="21"/>
      <c r="Q24" s="21"/>
      <c r="R24" s="21"/>
      <c r="S24" s="46"/>
      <c r="T24" s="46"/>
      <c r="U24" s="46"/>
      <c r="V24" s="46"/>
      <c r="W24" s="46"/>
      <c r="X24" s="46"/>
      <c r="Y24" s="46"/>
      <c r="Z24" s="46"/>
      <c r="AA24" s="47"/>
      <c r="AB24" s="50"/>
      <c r="AC24" s="102"/>
    </row>
    <row r="25" spans="1:29" s="2" customFormat="1" ht="48">
      <c r="A25" s="139" t="s">
        <v>166</v>
      </c>
      <c r="B25" s="140" t="s">
        <v>362</v>
      </c>
      <c r="C25" s="24" t="str">
        <f t="shared" si="3"/>
        <v>학부대학 핵심 강좌 내실화</v>
      </c>
      <c r="D25" s="24" t="s">
        <v>283</v>
      </c>
      <c r="E25" s="24" t="s">
        <v>43</v>
      </c>
      <c r="F25" s="141">
        <v>288000000</v>
      </c>
      <c r="G25" s="141">
        <v>249600000</v>
      </c>
      <c r="H25" s="144" t="s">
        <v>284</v>
      </c>
      <c r="I25" s="143">
        <f t="shared" si="1"/>
        <v>174720000</v>
      </c>
      <c r="J25" s="143"/>
      <c r="K25" s="48"/>
      <c r="L25" s="21">
        <f t="shared" si="2"/>
        <v>174720000</v>
      </c>
      <c r="M25" s="21"/>
      <c r="N25" s="21"/>
      <c r="O25" s="21"/>
      <c r="P25" s="21"/>
      <c r="Q25" s="21"/>
      <c r="R25" s="21"/>
      <c r="S25" s="46"/>
      <c r="T25" s="46"/>
      <c r="U25" s="46"/>
      <c r="V25" s="46"/>
      <c r="W25" s="46"/>
      <c r="X25" s="46"/>
      <c r="Y25" s="46"/>
      <c r="Z25" s="46"/>
      <c r="AA25" s="47"/>
      <c r="AB25" s="50"/>
      <c r="AC25" s="102"/>
    </row>
    <row r="26" spans="1:29" s="2" customFormat="1" ht="36">
      <c r="A26" s="139" t="s">
        <v>166</v>
      </c>
      <c r="B26" s="140" t="s">
        <v>362</v>
      </c>
      <c r="C26" s="24" t="str">
        <f t="shared" si="3"/>
        <v>학부대학 핵심 강좌 내실화</v>
      </c>
      <c r="D26" s="24" t="s">
        <v>283</v>
      </c>
      <c r="E26" s="24" t="s">
        <v>46</v>
      </c>
      <c r="F26" s="141">
        <v>20000000</v>
      </c>
      <c r="G26" s="141">
        <v>10000000</v>
      </c>
      <c r="H26" s="144" t="s">
        <v>285</v>
      </c>
      <c r="I26" s="143">
        <f t="shared" si="1"/>
        <v>7000000</v>
      </c>
      <c r="J26" s="143"/>
      <c r="K26" s="48"/>
      <c r="L26" s="21">
        <f t="shared" si="2"/>
        <v>7000000</v>
      </c>
      <c r="M26" s="21"/>
      <c r="N26" s="21"/>
      <c r="O26" s="21"/>
      <c r="P26" s="21"/>
      <c r="Q26" s="21"/>
      <c r="R26" s="21"/>
      <c r="S26" s="46"/>
      <c r="T26" s="46"/>
      <c r="U26" s="46"/>
      <c r="V26" s="46"/>
      <c r="W26" s="46"/>
      <c r="X26" s="46"/>
      <c r="Y26" s="46"/>
      <c r="Z26" s="46"/>
      <c r="AA26" s="47"/>
      <c r="AB26" s="50"/>
      <c r="AC26" s="102"/>
    </row>
    <row r="27" spans="1:29" s="2" customFormat="1">
      <c r="A27" s="139" t="s">
        <v>243</v>
      </c>
      <c r="B27" s="140" t="s">
        <v>362</v>
      </c>
      <c r="C27" s="24" t="str">
        <f t="shared" si="3"/>
        <v>학부대학 핵심 강좌 내실화</v>
      </c>
      <c r="D27" s="24" t="s">
        <v>257</v>
      </c>
      <c r="E27" s="24" t="s">
        <v>133</v>
      </c>
      <c r="F27" s="141">
        <v>50000000</v>
      </c>
      <c r="G27" s="141">
        <v>50000000</v>
      </c>
      <c r="H27" s="142" t="s">
        <v>262</v>
      </c>
      <c r="I27" s="143">
        <f t="shared" si="1"/>
        <v>35000000</v>
      </c>
      <c r="J27" s="143"/>
      <c r="K27" s="48"/>
      <c r="L27" s="21">
        <f t="shared" si="2"/>
        <v>35000000</v>
      </c>
      <c r="M27" s="21"/>
      <c r="N27" s="21"/>
      <c r="O27" s="21"/>
      <c r="P27" s="21"/>
      <c r="Q27" s="21"/>
      <c r="R27" s="21"/>
      <c r="S27" s="46"/>
      <c r="T27" s="46"/>
      <c r="U27" s="46"/>
      <c r="V27" s="46"/>
      <c r="W27" s="46"/>
      <c r="X27" s="46"/>
      <c r="Y27" s="46"/>
      <c r="Z27" s="46"/>
      <c r="AA27" s="47"/>
      <c r="AB27" s="50"/>
      <c r="AC27" s="102"/>
    </row>
    <row r="28" spans="1:29" s="2" customFormat="1">
      <c r="A28" s="139" t="s">
        <v>264</v>
      </c>
      <c r="B28" s="140" t="s">
        <v>362</v>
      </c>
      <c r="C28" s="24" t="str">
        <f t="shared" si="3"/>
        <v>학부대학 핵심 강좌 내실화</v>
      </c>
      <c r="D28" s="24" t="s">
        <v>257</v>
      </c>
      <c r="E28" s="24" t="s">
        <v>106</v>
      </c>
      <c r="F28" s="141">
        <v>10000000</v>
      </c>
      <c r="G28" s="141">
        <v>10000000</v>
      </c>
      <c r="H28" s="142" t="s">
        <v>263</v>
      </c>
      <c r="I28" s="143">
        <f t="shared" si="1"/>
        <v>7000000</v>
      </c>
      <c r="J28" s="143"/>
      <c r="K28" s="48"/>
      <c r="L28" s="21">
        <f t="shared" si="2"/>
        <v>7000000</v>
      </c>
      <c r="M28" s="21"/>
      <c r="N28" s="21"/>
      <c r="O28" s="21"/>
      <c r="P28" s="21"/>
      <c r="Q28" s="21"/>
      <c r="R28" s="21"/>
      <c r="S28" s="46"/>
      <c r="T28" s="46"/>
      <c r="U28" s="46"/>
      <c r="V28" s="46"/>
      <c r="W28" s="46"/>
      <c r="X28" s="46"/>
      <c r="Y28" s="46"/>
      <c r="Z28" s="46"/>
      <c r="AA28" s="47"/>
      <c r="AB28" s="50"/>
      <c r="AC28" s="102"/>
    </row>
    <row r="29" spans="1:29" s="2" customFormat="1">
      <c r="A29" s="139" t="s">
        <v>181</v>
      </c>
      <c r="B29" s="140" t="s">
        <v>372</v>
      </c>
      <c r="C29" s="24" t="s">
        <v>235</v>
      </c>
      <c r="D29" s="24" t="s">
        <v>430</v>
      </c>
      <c r="E29" s="24" t="s">
        <v>44</v>
      </c>
      <c r="F29" s="141">
        <v>50000000</v>
      </c>
      <c r="G29" s="141">
        <v>50000000</v>
      </c>
      <c r="H29" s="142" t="s">
        <v>274</v>
      </c>
      <c r="I29" s="143">
        <f t="shared" si="1"/>
        <v>35000000</v>
      </c>
      <c r="J29" s="143"/>
      <c r="K29" s="48"/>
      <c r="L29" s="21">
        <f t="shared" si="2"/>
        <v>35000000</v>
      </c>
      <c r="M29" s="21"/>
      <c r="N29" s="21"/>
      <c r="O29" s="21"/>
      <c r="P29" s="21"/>
      <c r="Q29" s="21"/>
      <c r="R29" s="21"/>
      <c r="S29" s="46"/>
      <c r="T29" s="46"/>
      <c r="U29" s="46"/>
      <c r="V29" s="46"/>
      <c r="W29" s="46"/>
      <c r="X29" s="46"/>
      <c r="Y29" s="46"/>
      <c r="Z29" s="46"/>
      <c r="AA29" s="47"/>
      <c r="AB29" s="50"/>
      <c r="AC29" s="102"/>
    </row>
    <row r="30" spans="1:29" s="2" customFormat="1" ht="24">
      <c r="A30" s="139" t="s">
        <v>181</v>
      </c>
      <c r="B30" s="140" t="s">
        <v>372</v>
      </c>
      <c r="C30" s="24" t="s">
        <v>235</v>
      </c>
      <c r="D30" s="24" t="s">
        <v>430</v>
      </c>
      <c r="E30" s="24" t="s">
        <v>44</v>
      </c>
      <c r="F30" s="141">
        <v>50000000</v>
      </c>
      <c r="G30" s="141">
        <v>50000000</v>
      </c>
      <c r="H30" s="144" t="s">
        <v>280</v>
      </c>
      <c r="I30" s="143">
        <f t="shared" si="1"/>
        <v>35000000</v>
      </c>
      <c r="J30" s="143"/>
      <c r="K30" s="48"/>
      <c r="L30" s="21">
        <f t="shared" si="2"/>
        <v>35000000</v>
      </c>
      <c r="M30" s="21"/>
      <c r="N30" s="21"/>
      <c r="O30" s="21"/>
      <c r="P30" s="21"/>
      <c r="Q30" s="21"/>
      <c r="R30" s="21"/>
      <c r="S30" s="46"/>
      <c r="T30" s="46"/>
      <c r="U30" s="46"/>
      <c r="V30" s="46"/>
      <c r="W30" s="46"/>
      <c r="X30" s="46"/>
      <c r="Y30" s="46"/>
      <c r="Z30" s="46"/>
      <c r="AA30" s="47"/>
      <c r="AB30" s="50"/>
      <c r="AC30" s="102"/>
    </row>
    <row r="31" spans="1:29" s="2" customFormat="1">
      <c r="A31" s="139" t="s">
        <v>181</v>
      </c>
      <c r="B31" s="140" t="s">
        <v>372</v>
      </c>
      <c r="C31" s="24" t="s">
        <v>235</v>
      </c>
      <c r="D31" s="24" t="s">
        <v>430</v>
      </c>
      <c r="E31" s="24" t="s">
        <v>46</v>
      </c>
      <c r="F31" s="141">
        <v>230000000</v>
      </c>
      <c r="G31" s="141">
        <v>230000000</v>
      </c>
      <c r="H31" s="142" t="s">
        <v>275</v>
      </c>
      <c r="I31" s="143">
        <f t="shared" si="1"/>
        <v>161000000</v>
      </c>
      <c r="J31" s="143"/>
      <c r="K31" s="48"/>
      <c r="L31" s="21">
        <f t="shared" si="2"/>
        <v>161000000</v>
      </c>
      <c r="M31" s="21"/>
      <c r="N31" s="21"/>
      <c r="O31" s="21"/>
      <c r="P31" s="21"/>
      <c r="Q31" s="21"/>
      <c r="R31" s="21"/>
      <c r="S31" s="46"/>
      <c r="T31" s="46"/>
      <c r="U31" s="46"/>
      <c r="V31" s="46"/>
      <c r="W31" s="46"/>
      <c r="X31" s="46"/>
      <c r="Y31" s="46"/>
      <c r="Z31" s="46"/>
      <c r="AA31" s="47"/>
      <c r="AB31" s="50"/>
      <c r="AC31" s="102"/>
    </row>
    <row r="32" spans="1:29" s="2" customFormat="1">
      <c r="A32" s="139" t="s">
        <v>181</v>
      </c>
      <c r="B32" s="140" t="s">
        <v>372</v>
      </c>
      <c r="C32" s="24" t="s">
        <v>235</v>
      </c>
      <c r="D32" s="24" t="s">
        <v>430</v>
      </c>
      <c r="E32" s="24" t="s">
        <v>273</v>
      </c>
      <c r="F32" s="141">
        <v>0</v>
      </c>
      <c r="G32" s="141">
        <v>180000000</v>
      </c>
      <c r="H32" s="142" t="s">
        <v>276</v>
      </c>
      <c r="I32" s="143">
        <f t="shared" si="1"/>
        <v>125999999.99999999</v>
      </c>
      <c r="J32" s="143"/>
      <c r="K32" s="48"/>
      <c r="L32" s="21">
        <f t="shared" si="2"/>
        <v>125999999.99999999</v>
      </c>
      <c r="M32" s="21"/>
      <c r="N32" s="21"/>
      <c r="O32" s="21"/>
      <c r="P32" s="21"/>
      <c r="Q32" s="21"/>
      <c r="R32" s="21"/>
      <c r="S32" s="46"/>
      <c r="T32" s="46"/>
      <c r="U32" s="46"/>
      <c r="V32" s="46"/>
      <c r="W32" s="46"/>
      <c r="X32" s="46"/>
      <c r="Y32" s="46"/>
      <c r="Z32" s="46"/>
      <c r="AA32" s="47"/>
      <c r="AB32" s="50"/>
      <c r="AC32" s="102"/>
    </row>
    <row r="33" spans="1:29" s="2" customFormat="1">
      <c r="A33" s="139" t="s">
        <v>181</v>
      </c>
      <c r="B33" s="140" t="s">
        <v>372</v>
      </c>
      <c r="C33" s="24" t="s">
        <v>235</v>
      </c>
      <c r="D33" s="24" t="s">
        <v>430</v>
      </c>
      <c r="E33" s="24" t="s">
        <v>45</v>
      </c>
      <c r="F33" s="141">
        <v>20000000</v>
      </c>
      <c r="G33" s="141">
        <v>20000000</v>
      </c>
      <c r="H33" s="142" t="s">
        <v>277</v>
      </c>
      <c r="I33" s="143">
        <f t="shared" si="1"/>
        <v>14000000</v>
      </c>
      <c r="J33" s="143"/>
      <c r="K33" s="48"/>
      <c r="L33" s="21">
        <f t="shared" si="2"/>
        <v>14000000</v>
      </c>
      <c r="M33" s="21"/>
      <c r="N33" s="21"/>
      <c r="O33" s="21"/>
      <c r="P33" s="21"/>
      <c r="Q33" s="21"/>
      <c r="R33" s="21"/>
      <c r="S33" s="46"/>
      <c r="T33" s="46"/>
      <c r="U33" s="46"/>
      <c r="V33" s="46"/>
      <c r="W33" s="46"/>
      <c r="X33" s="46"/>
      <c r="Y33" s="46"/>
      <c r="Z33" s="46"/>
      <c r="AA33" s="47"/>
      <c r="AB33" s="50"/>
      <c r="AC33" s="102"/>
    </row>
    <row r="34" spans="1:29" s="2" customFormat="1">
      <c r="A34" s="139" t="s">
        <v>181</v>
      </c>
      <c r="B34" s="140" t="s">
        <v>372</v>
      </c>
      <c r="C34" s="24" t="s">
        <v>235</v>
      </c>
      <c r="D34" s="24" t="s">
        <v>430</v>
      </c>
      <c r="E34" s="24" t="s">
        <v>133</v>
      </c>
      <c r="F34" s="141">
        <v>40000000</v>
      </c>
      <c r="G34" s="141">
        <v>40000000</v>
      </c>
      <c r="H34" s="142" t="s">
        <v>278</v>
      </c>
      <c r="I34" s="143">
        <f t="shared" si="1"/>
        <v>28000000</v>
      </c>
      <c r="J34" s="143"/>
      <c r="K34" s="48"/>
      <c r="L34" s="21">
        <f t="shared" si="2"/>
        <v>28000000</v>
      </c>
      <c r="M34" s="21"/>
      <c r="N34" s="21"/>
      <c r="O34" s="21"/>
      <c r="P34" s="21"/>
      <c r="Q34" s="21"/>
      <c r="R34" s="21"/>
      <c r="S34" s="46"/>
      <c r="T34" s="46"/>
      <c r="U34" s="46"/>
      <c r="V34" s="46"/>
      <c r="W34" s="46"/>
      <c r="X34" s="46"/>
      <c r="Y34" s="46"/>
      <c r="Z34" s="46"/>
      <c r="AA34" s="47"/>
      <c r="AB34" s="50"/>
      <c r="AC34" s="102"/>
    </row>
    <row r="35" spans="1:29" s="2" customFormat="1">
      <c r="A35" s="139" t="s">
        <v>181</v>
      </c>
      <c r="B35" s="140" t="s">
        <v>372</v>
      </c>
      <c r="C35" s="24" t="s">
        <v>235</v>
      </c>
      <c r="D35" s="24" t="s">
        <v>430</v>
      </c>
      <c r="E35" s="24" t="s">
        <v>106</v>
      </c>
      <c r="F35" s="141">
        <v>10000000</v>
      </c>
      <c r="G35" s="141">
        <v>10000000</v>
      </c>
      <c r="H35" s="142" t="s">
        <v>279</v>
      </c>
      <c r="I35" s="143">
        <f t="shared" si="1"/>
        <v>7000000</v>
      </c>
      <c r="J35" s="143"/>
      <c r="K35" s="48"/>
      <c r="L35" s="21">
        <f t="shared" si="2"/>
        <v>7000000</v>
      </c>
      <c r="M35" s="21"/>
      <c r="N35" s="21"/>
      <c r="O35" s="21"/>
      <c r="P35" s="21"/>
      <c r="Q35" s="21"/>
      <c r="R35" s="21"/>
      <c r="S35" s="46"/>
      <c r="T35" s="46"/>
      <c r="U35" s="46"/>
      <c r="V35" s="46"/>
      <c r="W35" s="46"/>
      <c r="X35" s="46"/>
      <c r="Y35" s="46"/>
      <c r="Z35" s="46"/>
      <c r="AA35" s="47"/>
      <c r="AB35" s="50"/>
      <c r="AC35" s="102"/>
    </row>
    <row r="36" spans="1:29" s="2" customFormat="1">
      <c r="A36" s="139" t="s">
        <v>192</v>
      </c>
      <c r="B36" s="140" t="s">
        <v>363</v>
      </c>
      <c r="C36" s="24" t="s">
        <v>190</v>
      </c>
      <c r="D36" s="24" t="s">
        <v>268</v>
      </c>
      <c r="E36" s="24" t="s">
        <v>191</v>
      </c>
      <c r="F36" s="141">
        <v>270000000</v>
      </c>
      <c r="G36" s="141">
        <v>270000000</v>
      </c>
      <c r="H36" s="142" t="s">
        <v>269</v>
      </c>
      <c r="I36" s="143">
        <f t="shared" si="1"/>
        <v>189000000</v>
      </c>
      <c r="J36" s="143"/>
      <c r="K36" s="48"/>
      <c r="L36" s="21">
        <f t="shared" si="2"/>
        <v>189000000</v>
      </c>
      <c r="M36" s="21"/>
      <c r="N36" s="21"/>
      <c r="O36" s="21"/>
      <c r="P36" s="21"/>
      <c r="Q36" s="21"/>
      <c r="R36" s="21"/>
      <c r="S36" s="46"/>
      <c r="T36" s="46"/>
      <c r="U36" s="46"/>
      <c r="V36" s="46"/>
      <c r="W36" s="46"/>
      <c r="X36" s="46"/>
      <c r="Y36" s="46"/>
      <c r="Z36" s="46"/>
      <c r="AA36" s="47"/>
      <c r="AB36" s="50"/>
      <c r="AC36" s="102"/>
    </row>
    <row r="37" spans="1:29" s="2" customFormat="1">
      <c r="A37" s="139" t="s">
        <v>166</v>
      </c>
      <c r="B37" s="140" t="s">
        <v>364</v>
      </c>
      <c r="C37" s="24" t="s">
        <v>194</v>
      </c>
      <c r="D37" s="24" t="s">
        <v>283</v>
      </c>
      <c r="E37" s="24" t="s">
        <v>195</v>
      </c>
      <c r="F37" s="141">
        <v>100000000</v>
      </c>
      <c r="G37" s="141">
        <v>100000000</v>
      </c>
      <c r="H37" s="142" t="s">
        <v>287</v>
      </c>
      <c r="I37" s="143">
        <f t="shared" si="1"/>
        <v>70000000</v>
      </c>
      <c r="J37" s="143"/>
      <c r="K37" s="48"/>
      <c r="L37" s="21">
        <f t="shared" si="2"/>
        <v>70000000</v>
      </c>
      <c r="M37" s="21"/>
      <c r="N37" s="21"/>
      <c r="O37" s="21"/>
      <c r="P37" s="21"/>
      <c r="Q37" s="21"/>
      <c r="R37" s="21"/>
      <c r="S37" s="46"/>
      <c r="T37" s="46"/>
      <c r="U37" s="46"/>
      <c r="V37" s="46"/>
      <c r="W37" s="46"/>
      <c r="X37" s="46"/>
      <c r="Y37" s="46"/>
      <c r="Z37" s="46"/>
      <c r="AA37" s="47"/>
      <c r="AB37" s="50"/>
      <c r="AC37" s="102"/>
    </row>
    <row r="38" spans="1:29" s="2" customFormat="1">
      <c r="A38" s="139" t="s">
        <v>166</v>
      </c>
      <c r="B38" s="140" t="s">
        <v>364</v>
      </c>
      <c r="C38" s="24" t="str">
        <f t="shared" ref="C38:C41" si="4">C37</f>
        <v>글로벌교육과정 확대 운영</v>
      </c>
      <c r="D38" s="24" t="s">
        <v>283</v>
      </c>
      <c r="E38" s="24" t="s">
        <v>46</v>
      </c>
      <c r="F38" s="141">
        <v>270000000</v>
      </c>
      <c r="G38" s="141">
        <v>270000000</v>
      </c>
      <c r="H38" s="142" t="s">
        <v>428</v>
      </c>
      <c r="I38" s="143">
        <f t="shared" si="1"/>
        <v>189000000</v>
      </c>
      <c r="J38" s="143"/>
      <c r="K38" s="48"/>
      <c r="L38" s="21">
        <f t="shared" si="2"/>
        <v>189000000</v>
      </c>
      <c r="M38" s="21"/>
      <c r="N38" s="21"/>
      <c r="O38" s="21"/>
      <c r="P38" s="21"/>
      <c r="Q38" s="21"/>
      <c r="R38" s="21"/>
      <c r="S38" s="46"/>
      <c r="T38" s="46"/>
      <c r="U38" s="46"/>
      <c r="V38" s="46"/>
      <c r="W38" s="46"/>
      <c r="X38" s="46"/>
      <c r="Y38" s="46"/>
      <c r="Z38" s="46"/>
      <c r="AA38" s="47"/>
      <c r="AB38" s="50"/>
      <c r="AC38" s="102"/>
    </row>
    <row r="39" spans="1:29" s="2" customFormat="1">
      <c r="A39" s="139" t="s">
        <v>166</v>
      </c>
      <c r="B39" s="140" t="s">
        <v>364</v>
      </c>
      <c r="C39" s="24" t="str">
        <f t="shared" si="4"/>
        <v>글로벌교육과정 확대 운영</v>
      </c>
      <c r="D39" s="24" t="s">
        <v>283</v>
      </c>
      <c r="E39" s="24" t="s">
        <v>44</v>
      </c>
      <c r="F39" s="141">
        <v>100000000</v>
      </c>
      <c r="G39" s="141">
        <v>100000000</v>
      </c>
      <c r="H39" s="142" t="s">
        <v>288</v>
      </c>
      <c r="I39" s="143">
        <f t="shared" si="1"/>
        <v>70000000</v>
      </c>
      <c r="J39" s="143"/>
      <c r="K39" s="48"/>
      <c r="L39" s="21">
        <f t="shared" si="2"/>
        <v>70000000</v>
      </c>
      <c r="M39" s="21"/>
      <c r="N39" s="21"/>
      <c r="O39" s="21"/>
      <c r="P39" s="21"/>
      <c r="Q39" s="21"/>
      <c r="R39" s="21"/>
      <c r="S39" s="46"/>
      <c r="T39" s="46"/>
      <c r="U39" s="46"/>
      <c r="V39" s="46"/>
      <c r="W39" s="46"/>
      <c r="X39" s="46"/>
      <c r="Y39" s="46"/>
      <c r="Z39" s="46"/>
      <c r="AA39" s="47"/>
      <c r="AB39" s="50"/>
      <c r="AC39" s="102"/>
    </row>
    <row r="40" spans="1:29" s="2" customFormat="1" ht="48">
      <c r="A40" s="139" t="s">
        <v>166</v>
      </c>
      <c r="B40" s="140" t="s">
        <v>364</v>
      </c>
      <c r="C40" s="24" t="str">
        <f t="shared" si="4"/>
        <v>글로벌교육과정 확대 운영</v>
      </c>
      <c r="D40" s="24" t="s">
        <v>283</v>
      </c>
      <c r="E40" s="24" t="s">
        <v>43</v>
      </c>
      <c r="F40" s="141">
        <v>180000000</v>
      </c>
      <c r="G40" s="141">
        <v>180000000</v>
      </c>
      <c r="H40" s="144" t="s">
        <v>429</v>
      </c>
      <c r="I40" s="143">
        <f t="shared" si="1"/>
        <v>125999999.99999999</v>
      </c>
      <c r="J40" s="143"/>
      <c r="K40" s="48"/>
      <c r="L40" s="21">
        <f t="shared" si="2"/>
        <v>125999999.99999999</v>
      </c>
      <c r="M40" s="21"/>
      <c r="N40" s="21"/>
      <c r="O40" s="21"/>
      <c r="P40" s="21"/>
      <c r="Q40" s="21"/>
      <c r="R40" s="21"/>
      <c r="S40" s="46"/>
      <c r="T40" s="46"/>
      <c r="U40" s="46"/>
      <c r="V40" s="46"/>
      <c r="W40" s="46"/>
      <c r="X40" s="46"/>
      <c r="Y40" s="46"/>
      <c r="Z40" s="46"/>
      <c r="AA40" s="47"/>
      <c r="AB40" s="50"/>
      <c r="AC40" s="102"/>
    </row>
    <row r="41" spans="1:29" s="2" customFormat="1">
      <c r="A41" s="139" t="s">
        <v>166</v>
      </c>
      <c r="B41" s="140" t="s">
        <v>364</v>
      </c>
      <c r="C41" s="24" t="str">
        <f t="shared" si="4"/>
        <v>글로벌교육과정 확대 운영</v>
      </c>
      <c r="D41" s="24" t="s">
        <v>283</v>
      </c>
      <c r="E41" s="24" t="s">
        <v>106</v>
      </c>
      <c r="F41" s="141">
        <v>10000000</v>
      </c>
      <c r="G41" s="141">
        <v>10000000</v>
      </c>
      <c r="H41" s="142" t="s">
        <v>289</v>
      </c>
      <c r="I41" s="143">
        <f t="shared" si="1"/>
        <v>7000000</v>
      </c>
      <c r="J41" s="143"/>
      <c r="K41" s="48"/>
      <c r="L41" s="21">
        <f t="shared" si="2"/>
        <v>7000000</v>
      </c>
      <c r="M41" s="21"/>
      <c r="N41" s="21"/>
      <c r="O41" s="21"/>
      <c r="P41" s="21"/>
      <c r="Q41" s="21"/>
      <c r="R41" s="21"/>
      <c r="S41" s="46"/>
      <c r="T41" s="46"/>
      <c r="U41" s="46"/>
      <c r="V41" s="46"/>
      <c r="W41" s="46"/>
      <c r="X41" s="46"/>
      <c r="Y41" s="46"/>
      <c r="Z41" s="46"/>
      <c r="AA41" s="47"/>
      <c r="AB41" s="50"/>
      <c r="AC41" s="102"/>
    </row>
    <row r="42" spans="1:29" s="2" customFormat="1">
      <c r="A42" s="139" t="s">
        <v>192</v>
      </c>
      <c r="B42" s="140" t="s">
        <v>365</v>
      </c>
      <c r="C42" s="24" t="s">
        <v>200</v>
      </c>
      <c r="D42" s="24" t="s">
        <v>270</v>
      </c>
      <c r="E42" s="24" t="s">
        <v>44</v>
      </c>
      <c r="F42" s="141">
        <v>27000000</v>
      </c>
      <c r="G42" s="141">
        <v>0</v>
      </c>
      <c r="H42" s="142" t="s">
        <v>357</v>
      </c>
      <c r="I42" s="143">
        <f t="shared" si="1"/>
        <v>0</v>
      </c>
      <c r="J42" s="143"/>
      <c r="K42" s="48"/>
      <c r="L42" s="21">
        <f t="shared" si="2"/>
        <v>0</v>
      </c>
      <c r="M42" s="21"/>
      <c r="N42" s="21"/>
      <c r="O42" s="21"/>
      <c r="P42" s="21"/>
      <c r="Q42" s="21"/>
      <c r="R42" s="21"/>
      <c r="S42" s="46"/>
      <c r="T42" s="46"/>
      <c r="U42" s="46"/>
      <c r="V42" s="46"/>
      <c r="W42" s="46"/>
      <c r="X42" s="46"/>
      <c r="Y42" s="46"/>
      <c r="Z42" s="46"/>
      <c r="AA42" s="47"/>
      <c r="AB42" s="50"/>
      <c r="AC42" s="102"/>
    </row>
    <row r="43" spans="1:29" s="2" customFormat="1">
      <c r="A43" s="139" t="s">
        <v>192</v>
      </c>
      <c r="B43" s="140" t="s">
        <v>365</v>
      </c>
      <c r="C43" s="24" t="str">
        <f t="shared" ref="C43:C45" si="5">C42</f>
        <v>신입생 분반제도 시범운영</v>
      </c>
      <c r="D43" s="24" t="s">
        <v>270</v>
      </c>
      <c r="E43" s="24" t="s">
        <v>46</v>
      </c>
      <c r="F43" s="141">
        <v>72000000</v>
      </c>
      <c r="G43" s="141">
        <v>99000000</v>
      </c>
      <c r="H43" s="142" t="s">
        <v>358</v>
      </c>
      <c r="I43" s="143">
        <f t="shared" si="1"/>
        <v>69300000</v>
      </c>
      <c r="J43" s="143"/>
      <c r="K43" s="48"/>
      <c r="L43" s="21">
        <f t="shared" si="2"/>
        <v>69300000</v>
      </c>
      <c r="M43" s="21"/>
      <c r="N43" s="21"/>
      <c r="O43" s="21"/>
      <c r="P43" s="21"/>
      <c r="Q43" s="21"/>
      <c r="R43" s="21"/>
      <c r="S43" s="46"/>
      <c r="T43" s="46"/>
      <c r="U43" s="46"/>
      <c r="V43" s="46"/>
      <c r="W43" s="46"/>
      <c r="X43" s="46"/>
      <c r="Y43" s="46"/>
      <c r="Z43" s="46"/>
      <c r="AA43" s="47"/>
      <c r="AB43" s="50"/>
      <c r="AC43" s="102"/>
    </row>
    <row r="44" spans="1:29" s="2" customFormat="1" ht="24">
      <c r="A44" s="139" t="s">
        <v>192</v>
      </c>
      <c r="B44" s="140" t="s">
        <v>365</v>
      </c>
      <c r="C44" s="24" t="str">
        <f t="shared" si="5"/>
        <v>신입생 분반제도 시범운영</v>
      </c>
      <c r="D44" s="24" t="s">
        <v>270</v>
      </c>
      <c r="E44" s="24" t="s">
        <v>43</v>
      </c>
      <c r="F44" s="141">
        <v>129600000</v>
      </c>
      <c r="G44" s="141">
        <v>129600000</v>
      </c>
      <c r="H44" s="144" t="s">
        <v>359</v>
      </c>
      <c r="I44" s="143">
        <f t="shared" si="1"/>
        <v>90720000</v>
      </c>
      <c r="J44" s="143"/>
      <c r="K44" s="48"/>
      <c r="L44" s="21">
        <f t="shared" si="2"/>
        <v>90720000</v>
      </c>
      <c r="M44" s="21"/>
      <c r="N44" s="21"/>
      <c r="O44" s="21"/>
      <c r="P44" s="21"/>
      <c r="Q44" s="21"/>
      <c r="R44" s="21"/>
      <c r="S44" s="46"/>
      <c r="T44" s="46"/>
      <c r="U44" s="46"/>
      <c r="V44" s="46"/>
      <c r="W44" s="46"/>
      <c r="X44" s="46"/>
      <c r="Y44" s="46"/>
      <c r="Z44" s="46"/>
      <c r="AA44" s="47"/>
      <c r="AB44" s="50"/>
      <c r="AC44" s="102"/>
    </row>
    <row r="45" spans="1:29" s="2" customFormat="1">
      <c r="A45" s="139" t="s">
        <v>192</v>
      </c>
      <c r="B45" s="140" t="s">
        <v>365</v>
      </c>
      <c r="C45" s="24" t="str">
        <f t="shared" si="5"/>
        <v>신입생 분반제도 시범운영</v>
      </c>
      <c r="D45" s="24" t="s">
        <v>270</v>
      </c>
      <c r="E45" s="24" t="s">
        <v>106</v>
      </c>
      <c r="F45" s="141">
        <v>6000000</v>
      </c>
      <c r="G45" s="141">
        <v>6000000</v>
      </c>
      <c r="H45" s="142" t="s">
        <v>360</v>
      </c>
      <c r="I45" s="143">
        <f t="shared" si="1"/>
        <v>4200000</v>
      </c>
      <c r="J45" s="143"/>
      <c r="K45" s="48"/>
      <c r="L45" s="21">
        <f t="shared" si="2"/>
        <v>4200000</v>
      </c>
      <c r="M45" s="21"/>
      <c r="N45" s="21"/>
      <c r="O45" s="21"/>
      <c r="P45" s="21"/>
      <c r="Q45" s="21"/>
      <c r="R45" s="21"/>
      <c r="S45" s="46"/>
      <c r="T45" s="46"/>
      <c r="U45" s="46"/>
      <c r="V45" s="46"/>
      <c r="W45" s="46"/>
      <c r="X45" s="46"/>
      <c r="Y45" s="46"/>
      <c r="Z45" s="46"/>
      <c r="AA45" s="47"/>
      <c r="AB45" s="50"/>
      <c r="AC45" s="102"/>
    </row>
    <row r="46" spans="1:29" s="2" customFormat="1">
      <c r="A46" s="139" t="s">
        <v>192</v>
      </c>
      <c r="B46" s="140" t="s">
        <v>366</v>
      </c>
      <c r="C46" s="24" t="s">
        <v>205</v>
      </c>
      <c r="D46" s="24" t="s">
        <v>431</v>
      </c>
      <c r="E46" s="24" t="s">
        <v>165</v>
      </c>
      <c r="F46" s="141">
        <v>10000000</v>
      </c>
      <c r="G46" s="141">
        <v>10000000</v>
      </c>
      <c r="H46" s="142" t="s">
        <v>320</v>
      </c>
      <c r="I46" s="143">
        <f t="shared" si="1"/>
        <v>7000000</v>
      </c>
      <c r="J46" s="143"/>
      <c r="K46" s="48"/>
      <c r="L46" s="21">
        <f t="shared" si="2"/>
        <v>7000000</v>
      </c>
      <c r="M46" s="21"/>
      <c r="N46" s="21"/>
      <c r="O46" s="21"/>
      <c r="P46" s="21"/>
      <c r="Q46" s="21"/>
      <c r="R46" s="21"/>
      <c r="S46" s="46"/>
      <c r="T46" s="46"/>
      <c r="U46" s="46"/>
      <c r="V46" s="46"/>
      <c r="W46" s="46"/>
      <c r="X46" s="46"/>
      <c r="Y46" s="46"/>
      <c r="Z46" s="46"/>
      <c r="AA46" s="47"/>
      <c r="AB46" s="50"/>
      <c r="AC46" s="102"/>
    </row>
    <row r="47" spans="1:29" s="2" customFormat="1">
      <c r="A47" s="139" t="s">
        <v>192</v>
      </c>
      <c r="B47" s="140" t="s">
        <v>366</v>
      </c>
      <c r="C47" s="24" t="str">
        <f t="shared" ref="C47:C52" si="6">C46</f>
        <v>우수 비교과 프로그램 육성</v>
      </c>
      <c r="D47" s="24" t="s">
        <v>431</v>
      </c>
      <c r="E47" s="24" t="s">
        <v>168</v>
      </c>
      <c r="F47" s="141">
        <v>120000000</v>
      </c>
      <c r="G47" s="141">
        <v>120000000</v>
      </c>
      <c r="H47" s="142" t="s">
        <v>320</v>
      </c>
      <c r="I47" s="143">
        <f t="shared" si="1"/>
        <v>84000000</v>
      </c>
      <c r="J47" s="143"/>
      <c r="K47" s="48"/>
      <c r="L47" s="21">
        <f t="shared" si="2"/>
        <v>84000000</v>
      </c>
      <c r="M47" s="21"/>
      <c r="N47" s="21"/>
      <c r="O47" s="21"/>
      <c r="P47" s="21"/>
      <c r="Q47" s="21"/>
      <c r="R47" s="21"/>
      <c r="S47" s="46"/>
      <c r="T47" s="46"/>
      <c r="U47" s="46"/>
      <c r="V47" s="46"/>
      <c r="W47" s="46"/>
      <c r="X47" s="46"/>
      <c r="Y47" s="46"/>
      <c r="Z47" s="46"/>
      <c r="AA47" s="47"/>
      <c r="AB47" s="50"/>
      <c r="AC47" s="102"/>
    </row>
    <row r="48" spans="1:29" s="2" customFormat="1">
      <c r="A48" s="139" t="s">
        <v>192</v>
      </c>
      <c r="B48" s="140" t="s">
        <v>366</v>
      </c>
      <c r="C48" s="24" t="str">
        <f t="shared" si="6"/>
        <v>우수 비교과 프로그램 육성</v>
      </c>
      <c r="D48" s="24" t="s">
        <v>431</v>
      </c>
      <c r="E48" s="24" t="s">
        <v>169</v>
      </c>
      <c r="F48" s="141">
        <v>3360000</v>
      </c>
      <c r="G48" s="141">
        <v>3360000</v>
      </c>
      <c r="H48" s="142" t="s">
        <v>320</v>
      </c>
      <c r="I48" s="143">
        <f t="shared" si="1"/>
        <v>2352000</v>
      </c>
      <c r="J48" s="143"/>
      <c r="K48" s="48"/>
      <c r="L48" s="21">
        <f t="shared" si="2"/>
        <v>2352000</v>
      </c>
      <c r="M48" s="21"/>
      <c r="N48" s="21"/>
      <c r="O48" s="21"/>
      <c r="P48" s="21"/>
      <c r="Q48" s="21"/>
      <c r="R48" s="21"/>
      <c r="S48" s="46"/>
      <c r="T48" s="46"/>
      <c r="U48" s="46"/>
      <c r="V48" s="46"/>
      <c r="W48" s="46"/>
      <c r="X48" s="46"/>
      <c r="Y48" s="46"/>
      <c r="Z48" s="46"/>
      <c r="AA48" s="47"/>
      <c r="AB48" s="50"/>
      <c r="AC48" s="102"/>
    </row>
    <row r="49" spans="1:29" s="2" customFormat="1">
      <c r="A49" s="139" t="s">
        <v>192</v>
      </c>
      <c r="B49" s="140" t="s">
        <v>366</v>
      </c>
      <c r="C49" s="24" t="str">
        <f t="shared" si="6"/>
        <v>우수 비교과 프로그램 육성</v>
      </c>
      <c r="D49" s="24" t="s">
        <v>431</v>
      </c>
      <c r="E49" s="24" t="s">
        <v>170</v>
      </c>
      <c r="F49" s="141">
        <v>14400000</v>
      </c>
      <c r="G49" s="141">
        <v>14400000</v>
      </c>
      <c r="H49" s="142" t="s">
        <v>320</v>
      </c>
      <c r="I49" s="143">
        <f t="shared" si="1"/>
        <v>10080000</v>
      </c>
      <c r="J49" s="143"/>
      <c r="K49" s="48"/>
      <c r="L49" s="21">
        <f t="shared" si="2"/>
        <v>10080000</v>
      </c>
      <c r="M49" s="21"/>
      <c r="N49" s="21"/>
      <c r="O49" s="21"/>
      <c r="P49" s="21"/>
      <c r="Q49" s="21"/>
      <c r="R49" s="21"/>
      <c r="S49" s="46"/>
      <c r="T49" s="46"/>
      <c r="U49" s="46"/>
      <c r="V49" s="46"/>
      <c r="W49" s="46"/>
      <c r="X49" s="46"/>
      <c r="Y49" s="46"/>
      <c r="Z49" s="46"/>
      <c r="AA49" s="47"/>
      <c r="AB49" s="50"/>
      <c r="AC49" s="102"/>
    </row>
    <row r="50" spans="1:29" s="2" customFormat="1" ht="36">
      <c r="A50" s="139" t="s">
        <v>192</v>
      </c>
      <c r="B50" s="140" t="s">
        <v>366</v>
      </c>
      <c r="C50" s="24" t="str">
        <f t="shared" si="6"/>
        <v>우수 비교과 프로그램 육성</v>
      </c>
      <c r="D50" s="24" t="s">
        <v>271</v>
      </c>
      <c r="E50" s="24" t="s">
        <v>43</v>
      </c>
      <c r="F50" s="141">
        <v>500000000</v>
      </c>
      <c r="G50" s="141">
        <v>500000000</v>
      </c>
      <c r="H50" s="144" t="s">
        <v>356</v>
      </c>
      <c r="I50" s="143">
        <f t="shared" si="1"/>
        <v>350000000</v>
      </c>
      <c r="J50" s="143"/>
      <c r="K50" s="48"/>
      <c r="L50" s="21">
        <f t="shared" si="2"/>
        <v>350000000</v>
      </c>
      <c r="M50" s="21"/>
      <c r="N50" s="21"/>
      <c r="O50" s="21"/>
      <c r="P50" s="21"/>
      <c r="Q50" s="21"/>
      <c r="R50" s="21"/>
      <c r="S50" s="46"/>
      <c r="T50" s="46"/>
      <c r="U50" s="46"/>
      <c r="V50" s="46"/>
      <c r="W50" s="46"/>
      <c r="X50" s="46"/>
      <c r="Y50" s="46"/>
      <c r="Z50" s="46"/>
      <c r="AA50" s="47"/>
      <c r="AB50" s="50"/>
      <c r="AC50" s="102"/>
    </row>
    <row r="51" spans="1:29" s="2" customFormat="1" ht="108">
      <c r="A51" s="139" t="s">
        <v>265</v>
      </c>
      <c r="B51" s="140" t="s">
        <v>368</v>
      </c>
      <c r="C51" s="24" t="s">
        <v>272</v>
      </c>
      <c r="D51" s="24" t="s">
        <v>270</v>
      </c>
      <c r="E51" s="24" t="s">
        <v>43</v>
      </c>
      <c r="F51" s="141">
        <v>256200000</v>
      </c>
      <c r="G51" s="141">
        <v>256200000</v>
      </c>
      <c r="H51" s="144" t="s">
        <v>355</v>
      </c>
      <c r="I51" s="143">
        <f t="shared" si="1"/>
        <v>179340000</v>
      </c>
      <c r="J51" s="143"/>
      <c r="K51" s="48"/>
      <c r="L51" s="21">
        <f t="shared" si="2"/>
        <v>179340000</v>
      </c>
      <c r="M51" s="21"/>
      <c r="N51" s="21"/>
      <c r="O51" s="21"/>
      <c r="P51" s="21"/>
      <c r="Q51" s="21"/>
      <c r="R51" s="21"/>
      <c r="S51" s="46"/>
      <c r="T51" s="46"/>
      <c r="U51" s="46"/>
      <c r="V51" s="46"/>
      <c r="W51" s="46"/>
      <c r="X51" s="46"/>
      <c r="Y51" s="46"/>
      <c r="Z51" s="46"/>
      <c r="AA51" s="47"/>
      <c r="AB51" s="50"/>
      <c r="AC51" s="102"/>
    </row>
    <row r="52" spans="1:29" s="2" customFormat="1">
      <c r="A52" s="139" t="s">
        <v>266</v>
      </c>
      <c r="B52" s="140" t="s">
        <v>368</v>
      </c>
      <c r="C52" s="24" t="str">
        <f t="shared" si="6"/>
        <v>SNU 맞춤형 학습튜터링</v>
      </c>
      <c r="D52" s="24" t="s">
        <v>270</v>
      </c>
      <c r="E52" s="24" t="s">
        <v>46</v>
      </c>
      <c r="F52" s="141">
        <v>9000000</v>
      </c>
      <c r="G52" s="141">
        <v>9000000</v>
      </c>
      <c r="H52" s="142" t="s">
        <v>354</v>
      </c>
      <c r="I52" s="143">
        <f t="shared" si="1"/>
        <v>6300000</v>
      </c>
      <c r="J52" s="143"/>
      <c r="K52" s="48"/>
      <c r="L52" s="21">
        <f t="shared" si="2"/>
        <v>6300000</v>
      </c>
      <c r="M52" s="21"/>
      <c r="N52" s="21"/>
      <c r="O52" s="21"/>
      <c r="P52" s="21"/>
      <c r="Q52" s="21"/>
      <c r="R52" s="21"/>
      <c r="S52" s="46"/>
      <c r="T52" s="46"/>
      <c r="U52" s="46"/>
      <c r="V52" s="46"/>
      <c r="W52" s="46"/>
      <c r="X52" s="46"/>
      <c r="Y52" s="46"/>
      <c r="Z52" s="46"/>
      <c r="AA52" s="47"/>
      <c r="AB52" s="50"/>
      <c r="AC52" s="102"/>
    </row>
    <row r="53" spans="1:29" s="2" customFormat="1">
      <c r="A53" s="139" t="s">
        <v>192</v>
      </c>
      <c r="B53" s="140" t="s">
        <v>375</v>
      </c>
      <c r="C53" s="24" t="s">
        <v>209</v>
      </c>
      <c r="D53" s="24" t="s">
        <v>268</v>
      </c>
      <c r="E53" s="24" t="s">
        <v>44</v>
      </c>
      <c r="F53" s="141">
        <v>50000000</v>
      </c>
      <c r="G53" s="141">
        <v>60000000</v>
      </c>
      <c r="H53" s="142" t="s">
        <v>353</v>
      </c>
      <c r="I53" s="143">
        <f t="shared" si="1"/>
        <v>42000000</v>
      </c>
      <c r="J53" s="143"/>
      <c r="K53" s="48"/>
      <c r="L53" s="21">
        <f t="shared" si="2"/>
        <v>42000000</v>
      </c>
      <c r="M53" s="21"/>
      <c r="N53" s="21"/>
      <c r="O53" s="21"/>
      <c r="P53" s="21"/>
      <c r="Q53" s="21"/>
      <c r="R53" s="21"/>
      <c r="S53" s="46"/>
      <c r="T53" s="46"/>
      <c r="U53" s="46"/>
      <c r="V53" s="46"/>
      <c r="W53" s="46"/>
      <c r="X53" s="46"/>
      <c r="Y53" s="46"/>
      <c r="Z53" s="46"/>
      <c r="AA53" s="47"/>
      <c r="AB53" s="50"/>
      <c r="AC53" s="102"/>
    </row>
    <row r="54" spans="1:29" s="2" customFormat="1" ht="36">
      <c r="A54" s="139" t="s">
        <v>192</v>
      </c>
      <c r="B54" s="140" t="s">
        <v>375</v>
      </c>
      <c r="C54" s="24" t="str">
        <f t="shared" ref="C54:C55" si="7">C53</f>
        <v>전공선택 이전 (무전공) 학생 지원</v>
      </c>
      <c r="D54" s="24" t="s">
        <v>271</v>
      </c>
      <c r="E54" s="24" t="s">
        <v>191</v>
      </c>
      <c r="F54" s="141">
        <v>1400000000</v>
      </c>
      <c r="G54" s="141">
        <v>1400000000</v>
      </c>
      <c r="H54" s="144" t="s">
        <v>352</v>
      </c>
      <c r="I54" s="143">
        <f t="shared" si="1"/>
        <v>979999999.99999988</v>
      </c>
      <c r="J54" s="143"/>
      <c r="K54" s="48"/>
      <c r="L54" s="21">
        <f t="shared" si="2"/>
        <v>979999999.99999988</v>
      </c>
      <c r="M54" s="21"/>
      <c r="N54" s="21"/>
      <c r="O54" s="21"/>
      <c r="P54" s="21"/>
      <c r="Q54" s="21"/>
      <c r="R54" s="21"/>
      <c r="S54" s="46"/>
      <c r="T54" s="46"/>
      <c r="U54" s="46"/>
      <c r="V54" s="46"/>
      <c r="W54" s="46"/>
      <c r="X54" s="46"/>
      <c r="Y54" s="46"/>
      <c r="Z54" s="46"/>
      <c r="AA54" s="47"/>
      <c r="AB54" s="50"/>
      <c r="AC54" s="102"/>
    </row>
    <row r="55" spans="1:29" s="2" customFormat="1">
      <c r="A55" s="139" t="s">
        <v>192</v>
      </c>
      <c r="B55" s="140" t="s">
        <v>374</v>
      </c>
      <c r="C55" s="24" t="str">
        <f t="shared" si="7"/>
        <v>전공선택 이전 (무전공) 학생 지원</v>
      </c>
      <c r="D55" s="24" t="s">
        <v>268</v>
      </c>
      <c r="E55" s="24" t="s">
        <v>133</v>
      </c>
      <c r="F55" s="141">
        <v>50000000</v>
      </c>
      <c r="G55" s="141">
        <v>40000000</v>
      </c>
      <c r="H55" s="142" t="s">
        <v>349</v>
      </c>
      <c r="I55" s="143">
        <f t="shared" si="1"/>
        <v>28000000</v>
      </c>
      <c r="J55" s="143"/>
      <c r="K55" s="48"/>
      <c r="L55" s="21">
        <f t="shared" si="2"/>
        <v>28000000</v>
      </c>
      <c r="M55" s="21"/>
      <c r="N55" s="21"/>
      <c r="O55" s="21"/>
      <c r="P55" s="21"/>
      <c r="Q55" s="21"/>
      <c r="R55" s="21"/>
      <c r="S55" s="46"/>
      <c r="T55" s="46"/>
      <c r="U55" s="46"/>
      <c r="V55" s="46"/>
      <c r="W55" s="46"/>
      <c r="X55" s="46"/>
      <c r="Y55" s="46"/>
      <c r="Z55" s="46"/>
      <c r="AA55" s="47"/>
      <c r="AB55" s="50"/>
      <c r="AC55" s="102"/>
    </row>
    <row r="56" spans="1:29" s="2" customFormat="1">
      <c r="A56" s="139" t="s">
        <v>192</v>
      </c>
      <c r="B56" s="140" t="s">
        <v>373</v>
      </c>
      <c r="C56" s="24" t="s">
        <v>212</v>
      </c>
      <c r="D56" s="24" t="s">
        <v>270</v>
      </c>
      <c r="E56" s="24" t="s">
        <v>191</v>
      </c>
      <c r="F56" s="141">
        <v>30000000</v>
      </c>
      <c r="G56" s="141">
        <v>30000000</v>
      </c>
      <c r="H56" s="142" t="s">
        <v>350</v>
      </c>
      <c r="I56" s="143">
        <f t="shared" si="1"/>
        <v>21000000</v>
      </c>
      <c r="J56" s="143"/>
      <c r="K56" s="48"/>
      <c r="L56" s="21">
        <f t="shared" si="2"/>
        <v>21000000</v>
      </c>
      <c r="M56" s="21"/>
      <c r="N56" s="21"/>
      <c r="O56" s="21"/>
      <c r="P56" s="21"/>
      <c r="Q56" s="21"/>
      <c r="R56" s="21"/>
      <c r="S56" s="46"/>
      <c r="T56" s="46"/>
      <c r="U56" s="46"/>
      <c r="V56" s="46"/>
      <c r="W56" s="46"/>
      <c r="X56" s="46"/>
      <c r="Y56" s="46"/>
      <c r="Z56" s="46"/>
      <c r="AA56" s="47"/>
      <c r="AB56" s="50"/>
      <c r="AC56" s="102"/>
    </row>
    <row r="57" spans="1:29" s="2" customFormat="1">
      <c r="A57" s="139" t="s">
        <v>192</v>
      </c>
      <c r="B57" s="140" t="s">
        <v>373</v>
      </c>
      <c r="C57" s="24" t="str">
        <f>C56</f>
        <v>학부대학 소속 학생 (자유전공, 광역) 지원</v>
      </c>
      <c r="D57" s="24" t="s">
        <v>270</v>
      </c>
      <c r="E57" s="24" t="s">
        <v>133</v>
      </c>
      <c r="F57" s="141">
        <v>50000000</v>
      </c>
      <c r="G57" s="141">
        <v>50000000</v>
      </c>
      <c r="H57" s="142" t="s">
        <v>351</v>
      </c>
      <c r="I57" s="143">
        <f t="shared" si="1"/>
        <v>35000000</v>
      </c>
      <c r="J57" s="143"/>
      <c r="K57" s="48"/>
      <c r="L57" s="21">
        <f t="shared" si="2"/>
        <v>35000000</v>
      </c>
      <c r="M57" s="21"/>
      <c r="N57" s="21"/>
      <c r="O57" s="21"/>
      <c r="P57" s="21"/>
      <c r="Q57" s="21"/>
      <c r="R57" s="21"/>
      <c r="S57" s="46"/>
      <c r="T57" s="46"/>
      <c r="U57" s="46"/>
      <c r="V57" s="46"/>
      <c r="W57" s="46"/>
      <c r="X57" s="46"/>
      <c r="Y57" s="46"/>
      <c r="Z57" s="46"/>
      <c r="AA57" s="47"/>
      <c r="AB57" s="50"/>
      <c r="AC57" s="102"/>
    </row>
    <row r="58" spans="1:29" s="2" customFormat="1">
      <c r="A58" s="139" t="s">
        <v>216</v>
      </c>
      <c r="B58" s="140" t="s">
        <v>376</v>
      </c>
      <c r="C58" s="24" t="s">
        <v>233</v>
      </c>
      <c r="D58" s="24" t="s">
        <v>432</v>
      </c>
      <c r="E58" s="24" t="s">
        <v>215</v>
      </c>
      <c r="F58" s="141">
        <v>17460000</v>
      </c>
      <c r="G58" s="141">
        <v>17460000</v>
      </c>
      <c r="H58" s="142" t="s">
        <v>326</v>
      </c>
      <c r="I58" s="143">
        <f t="shared" si="1"/>
        <v>12222000</v>
      </c>
      <c r="J58" s="143"/>
      <c r="K58" s="48"/>
      <c r="L58" s="21">
        <f t="shared" si="2"/>
        <v>12222000</v>
      </c>
      <c r="M58" s="21"/>
      <c r="N58" s="21"/>
      <c r="O58" s="21"/>
      <c r="P58" s="21"/>
      <c r="Q58" s="21"/>
      <c r="R58" s="21"/>
      <c r="S58" s="46"/>
      <c r="T58" s="46"/>
      <c r="U58" s="46"/>
      <c r="V58" s="46"/>
      <c r="W58" s="46"/>
      <c r="X58" s="46"/>
      <c r="Y58" s="46"/>
      <c r="Z58" s="46"/>
      <c r="AA58" s="47"/>
      <c r="AB58" s="50"/>
      <c r="AC58" s="102"/>
    </row>
    <row r="59" spans="1:29" s="2" customFormat="1">
      <c r="A59" s="139" t="s">
        <v>166</v>
      </c>
      <c r="B59" s="140" t="s">
        <v>376</v>
      </c>
      <c r="C59" s="24" t="str">
        <f t="shared" ref="C59:C62" si="8">C58</f>
        <v>학내외 소통 및 학부대학 운영</v>
      </c>
      <c r="D59" s="24" t="s">
        <v>290</v>
      </c>
      <c r="E59" s="24" t="s">
        <v>100</v>
      </c>
      <c r="F59" s="141">
        <v>30000000</v>
      </c>
      <c r="G59" s="141">
        <v>15000000</v>
      </c>
      <c r="H59" s="142" t="s">
        <v>218</v>
      </c>
      <c r="I59" s="143">
        <f t="shared" si="1"/>
        <v>10500000</v>
      </c>
      <c r="J59" s="143"/>
      <c r="K59" s="48"/>
      <c r="L59" s="21">
        <f t="shared" si="2"/>
        <v>10500000</v>
      </c>
      <c r="M59" s="21"/>
      <c r="N59" s="21"/>
      <c r="O59" s="21"/>
      <c r="P59" s="21"/>
      <c r="Q59" s="21"/>
      <c r="R59" s="21"/>
      <c r="S59" s="46"/>
      <c r="T59" s="46"/>
      <c r="U59" s="46"/>
      <c r="V59" s="46"/>
      <c r="W59" s="46"/>
      <c r="X59" s="46"/>
      <c r="Y59" s="46"/>
      <c r="Z59" s="46"/>
      <c r="AA59" s="47"/>
      <c r="AB59" s="50"/>
      <c r="AC59" s="102"/>
    </row>
    <row r="60" spans="1:29" s="2" customFormat="1">
      <c r="A60" s="139" t="s">
        <v>166</v>
      </c>
      <c r="B60" s="140" t="s">
        <v>376</v>
      </c>
      <c r="C60" s="24" t="str">
        <f t="shared" si="8"/>
        <v>학내외 소통 및 학부대학 운영</v>
      </c>
      <c r="D60" s="24" t="s">
        <v>290</v>
      </c>
      <c r="E60" s="24" t="s">
        <v>219</v>
      </c>
      <c r="F60" s="141">
        <v>50000000</v>
      </c>
      <c r="G60" s="141">
        <v>40000000</v>
      </c>
      <c r="H60" s="142" t="s">
        <v>291</v>
      </c>
      <c r="I60" s="143">
        <f t="shared" si="1"/>
        <v>28000000</v>
      </c>
      <c r="J60" s="143"/>
      <c r="K60" s="48"/>
      <c r="L60" s="21">
        <f t="shared" si="2"/>
        <v>28000000</v>
      </c>
      <c r="M60" s="21"/>
      <c r="N60" s="21"/>
      <c r="O60" s="21"/>
      <c r="P60" s="21"/>
      <c r="Q60" s="21"/>
      <c r="R60" s="21"/>
      <c r="S60" s="46"/>
      <c r="T60" s="46"/>
      <c r="U60" s="46"/>
      <c r="V60" s="46"/>
      <c r="W60" s="46"/>
      <c r="X60" s="46"/>
      <c r="Y60" s="46"/>
      <c r="Z60" s="46"/>
      <c r="AA60" s="47"/>
      <c r="AB60" s="50"/>
      <c r="AC60" s="102"/>
    </row>
    <row r="61" spans="1:29" s="2" customFormat="1">
      <c r="A61" s="139" t="s">
        <v>166</v>
      </c>
      <c r="B61" s="140" t="s">
        <v>376</v>
      </c>
      <c r="C61" s="24" t="str">
        <f t="shared" si="8"/>
        <v>학내외 소통 및 학부대학 운영</v>
      </c>
      <c r="D61" s="24" t="s">
        <v>290</v>
      </c>
      <c r="E61" s="24" t="s">
        <v>191</v>
      </c>
      <c r="F61" s="141">
        <v>30000000</v>
      </c>
      <c r="G61" s="141">
        <v>20000000</v>
      </c>
      <c r="H61" s="142" t="s">
        <v>221</v>
      </c>
      <c r="I61" s="143">
        <f t="shared" si="1"/>
        <v>14000000</v>
      </c>
      <c r="J61" s="143"/>
      <c r="K61" s="48"/>
      <c r="L61" s="21">
        <f t="shared" si="2"/>
        <v>14000000</v>
      </c>
      <c r="M61" s="21"/>
      <c r="N61" s="21"/>
      <c r="O61" s="21"/>
      <c r="P61" s="21"/>
      <c r="Q61" s="21"/>
      <c r="R61" s="21"/>
      <c r="S61" s="46"/>
      <c r="T61" s="46"/>
      <c r="U61" s="46"/>
      <c r="V61" s="46"/>
      <c r="W61" s="46"/>
      <c r="X61" s="46"/>
      <c r="Y61" s="46"/>
      <c r="Z61" s="46"/>
      <c r="AA61" s="47"/>
      <c r="AB61" s="50"/>
      <c r="AC61" s="102"/>
    </row>
    <row r="62" spans="1:29" s="2" customFormat="1" ht="24">
      <c r="A62" s="139" t="s">
        <v>181</v>
      </c>
      <c r="B62" s="140" t="s">
        <v>376</v>
      </c>
      <c r="C62" s="24" t="str">
        <f t="shared" si="8"/>
        <v>학내외 소통 및 학부대학 운영</v>
      </c>
      <c r="D62" s="24" t="s">
        <v>433</v>
      </c>
      <c r="E62" s="24" t="s">
        <v>106</v>
      </c>
      <c r="F62" s="141">
        <v>10000000</v>
      </c>
      <c r="G62" s="141">
        <v>10000000</v>
      </c>
      <c r="H62" s="144" t="s">
        <v>281</v>
      </c>
      <c r="I62" s="143">
        <f t="shared" si="1"/>
        <v>7000000</v>
      </c>
      <c r="J62" s="143"/>
      <c r="K62" s="48"/>
      <c r="L62" s="21">
        <f t="shared" si="2"/>
        <v>7000000</v>
      </c>
      <c r="M62" s="21"/>
      <c r="N62" s="21"/>
      <c r="O62" s="21"/>
      <c r="P62" s="21"/>
      <c r="Q62" s="21"/>
      <c r="R62" s="21"/>
      <c r="S62" s="46"/>
      <c r="T62" s="46"/>
      <c r="U62" s="46"/>
      <c r="V62" s="46"/>
      <c r="W62" s="46"/>
      <c r="X62" s="46"/>
      <c r="Y62" s="46"/>
      <c r="Z62" s="46"/>
      <c r="AA62" s="47"/>
      <c r="AB62" s="50"/>
      <c r="AC62" s="102"/>
    </row>
    <row r="63" spans="1:29" s="2" customFormat="1">
      <c r="A63" s="139" t="s">
        <v>216</v>
      </c>
      <c r="B63" s="140" t="s">
        <v>369</v>
      </c>
      <c r="C63" s="24" t="s">
        <v>223</v>
      </c>
      <c r="D63" s="24" t="s">
        <v>434</v>
      </c>
      <c r="E63" s="24" t="s">
        <v>224</v>
      </c>
      <c r="F63" s="141">
        <v>600000000</v>
      </c>
      <c r="G63" s="141">
        <v>380100000</v>
      </c>
      <c r="H63" s="142" t="s">
        <v>321</v>
      </c>
      <c r="I63" s="143">
        <f t="shared" si="1"/>
        <v>266069999.99999997</v>
      </c>
      <c r="J63" s="143"/>
      <c r="K63" s="48"/>
      <c r="L63" s="21">
        <f t="shared" si="2"/>
        <v>266069999.99999997</v>
      </c>
      <c r="M63" s="21"/>
      <c r="N63" s="21"/>
      <c r="O63" s="21"/>
      <c r="P63" s="21"/>
      <c r="Q63" s="21"/>
      <c r="R63" s="21"/>
      <c r="S63" s="46"/>
      <c r="T63" s="46"/>
      <c r="U63" s="46"/>
      <c r="V63" s="46"/>
      <c r="W63" s="46"/>
      <c r="X63" s="46"/>
      <c r="Y63" s="46"/>
      <c r="Z63" s="46"/>
      <c r="AA63" s="47"/>
      <c r="AB63" s="50"/>
      <c r="AC63" s="102"/>
    </row>
    <row r="64" spans="1:29" s="2" customFormat="1">
      <c r="A64" s="139" t="s">
        <v>216</v>
      </c>
      <c r="B64" s="140" t="s">
        <v>369</v>
      </c>
      <c r="C64" s="24" t="str">
        <f t="shared" ref="C64:C67" si="9">C63</f>
        <v>인프라 조성</v>
      </c>
      <c r="D64" s="24" t="s">
        <v>434</v>
      </c>
      <c r="E64" s="24" t="s">
        <v>224</v>
      </c>
      <c r="F64" s="141">
        <v>350000000</v>
      </c>
      <c r="G64" s="141">
        <v>350000000</v>
      </c>
      <c r="H64" s="142" t="s">
        <v>322</v>
      </c>
      <c r="I64" s="143">
        <f t="shared" si="1"/>
        <v>244999999.99999997</v>
      </c>
      <c r="J64" s="143"/>
      <c r="K64" s="48"/>
      <c r="L64" s="21">
        <f t="shared" si="2"/>
        <v>244999999.99999997</v>
      </c>
      <c r="M64" s="21"/>
      <c r="N64" s="21"/>
      <c r="O64" s="21"/>
      <c r="P64" s="21"/>
      <c r="Q64" s="21"/>
      <c r="R64" s="21"/>
      <c r="S64" s="46"/>
      <c r="T64" s="46"/>
      <c r="U64" s="46"/>
      <c r="V64" s="46"/>
      <c r="W64" s="46"/>
      <c r="X64" s="46"/>
      <c r="Y64" s="46"/>
      <c r="Z64" s="46"/>
      <c r="AA64" s="47"/>
      <c r="AB64" s="50"/>
      <c r="AC64" s="102"/>
    </row>
    <row r="65" spans="1:29" s="2" customFormat="1">
      <c r="A65" s="139" t="s">
        <v>216</v>
      </c>
      <c r="B65" s="140" t="s">
        <v>369</v>
      </c>
      <c r="C65" s="24" t="str">
        <f t="shared" si="9"/>
        <v>인프라 조성</v>
      </c>
      <c r="D65" s="24" t="s">
        <v>434</v>
      </c>
      <c r="E65" s="24" t="s">
        <v>224</v>
      </c>
      <c r="F65" s="141">
        <v>200000000</v>
      </c>
      <c r="G65" s="141">
        <v>200000000</v>
      </c>
      <c r="H65" s="142" t="s">
        <v>323</v>
      </c>
      <c r="I65" s="143">
        <f t="shared" si="1"/>
        <v>140000000</v>
      </c>
      <c r="J65" s="143"/>
      <c r="K65" s="48"/>
      <c r="L65" s="21">
        <f t="shared" si="2"/>
        <v>140000000</v>
      </c>
      <c r="M65" s="21"/>
      <c r="N65" s="21"/>
      <c r="O65" s="21"/>
      <c r="P65" s="21"/>
      <c r="Q65" s="21"/>
      <c r="R65" s="21"/>
      <c r="S65" s="46"/>
      <c r="T65" s="46"/>
      <c r="U65" s="46"/>
      <c r="V65" s="46"/>
      <c r="W65" s="46"/>
      <c r="X65" s="46"/>
      <c r="Y65" s="46"/>
      <c r="Z65" s="46"/>
      <c r="AA65" s="47"/>
      <c r="AB65" s="50"/>
      <c r="AC65" s="102"/>
    </row>
    <row r="66" spans="1:29" s="2" customFormat="1">
      <c r="A66" s="139" t="s">
        <v>216</v>
      </c>
      <c r="B66" s="140" t="s">
        <v>369</v>
      </c>
      <c r="C66" s="24" t="str">
        <f t="shared" si="9"/>
        <v>인프라 조성</v>
      </c>
      <c r="D66" s="24" t="s">
        <v>434</v>
      </c>
      <c r="E66" s="24" t="s">
        <v>224</v>
      </c>
      <c r="F66" s="141">
        <v>350000000</v>
      </c>
      <c r="G66" s="141">
        <v>350000000</v>
      </c>
      <c r="H66" s="142" t="s">
        <v>324</v>
      </c>
      <c r="I66" s="143">
        <f t="shared" si="1"/>
        <v>244999999.99999997</v>
      </c>
      <c r="J66" s="143"/>
      <c r="K66" s="48"/>
      <c r="L66" s="21">
        <f t="shared" si="2"/>
        <v>244999999.99999997</v>
      </c>
      <c r="M66" s="21"/>
      <c r="N66" s="21"/>
      <c r="O66" s="21"/>
      <c r="P66" s="21"/>
      <c r="Q66" s="21"/>
      <c r="R66" s="21"/>
      <c r="S66" s="46"/>
      <c r="T66" s="46"/>
      <c r="U66" s="46"/>
      <c r="V66" s="46"/>
      <c r="W66" s="46"/>
      <c r="X66" s="46"/>
      <c r="Y66" s="46"/>
      <c r="Z66" s="46"/>
      <c r="AA66" s="47"/>
      <c r="AB66" s="50"/>
      <c r="AC66" s="102"/>
    </row>
    <row r="67" spans="1:29" s="2" customFormat="1">
      <c r="A67" s="139" t="s">
        <v>216</v>
      </c>
      <c r="B67" s="140" t="s">
        <v>369</v>
      </c>
      <c r="C67" s="24" t="str">
        <f t="shared" si="9"/>
        <v>인프라 조성</v>
      </c>
      <c r="D67" s="24" t="s">
        <v>434</v>
      </c>
      <c r="E67" s="24" t="s">
        <v>224</v>
      </c>
      <c r="F67" s="141">
        <v>200000000</v>
      </c>
      <c r="G67" s="141">
        <v>200000000</v>
      </c>
      <c r="H67" s="142" t="s">
        <v>325</v>
      </c>
      <c r="I67" s="143">
        <f t="shared" si="1"/>
        <v>140000000</v>
      </c>
      <c r="J67" s="143"/>
      <c r="K67" s="48"/>
      <c r="L67" s="21">
        <f t="shared" si="2"/>
        <v>140000000</v>
      </c>
      <c r="M67" s="21">
        <v>4092000</v>
      </c>
      <c r="N67" s="21"/>
      <c r="O67" s="21"/>
      <c r="P67" s="21"/>
      <c r="Q67" s="21"/>
      <c r="R67" s="21"/>
      <c r="S67" s="46"/>
      <c r="T67" s="46"/>
      <c r="U67" s="46"/>
      <c r="V67" s="46"/>
      <c r="W67" s="46"/>
      <c r="X67" s="46"/>
      <c r="Y67" s="46"/>
      <c r="Z67" s="46"/>
      <c r="AA67" s="47"/>
      <c r="AB67" s="50"/>
      <c r="AC67" s="102"/>
    </row>
    <row r="68" spans="1:29" s="2" customFormat="1">
      <c r="A68" s="139" t="s">
        <v>216</v>
      </c>
      <c r="B68" s="140" t="s">
        <v>369</v>
      </c>
      <c r="C68" s="24" t="str">
        <f>C67</f>
        <v>인프라 조성</v>
      </c>
      <c r="D68" s="24" t="s">
        <v>434</v>
      </c>
      <c r="E68" s="24" t="s">
        <v>86</v>
      </c>
      <c r="F68" s="141">
        <v>300000000</v>
      </c>
      <c r="G68" s="141">
        <v>300000000</v>
      </c>
      <c r="H68" s="142" t="s">
        <v>327</v>
      </c>
      <c r="I68" s="143">
        <f t="shared" ref="I68:I72" si="10">G68*0.7</f>
        <v>210000000</v>
      </c>
      <c r="J68" s="143"/>
      <c r="K68" s="48"/>
      <c r="L68" s="21">
        <f t="shared" ref="L68:L73" si="11">SUM(I68:K68)</f>
        <v>210000000</v>
      </c>
      <c r="M68" s="21"/>
      <c r="N68" s="21"/>
      <c r="O68" s="21"/>
      <c r="P68" s="21"/>
      <c r="Q68" s="21"/>
      <c r="R68" s="21"/>
      <c r="S68" s="46"/>
      <c r="T68" s="46"/>
      <c r="U68" s="46"/>
      <c r="V68" s="46"/>
      <c r="W68" s="46"/>
      <c r="X68" s="46"/>
      <c r="Y68" s="46"/>
      <c r="Z68" s="46"/>
      <c r="AA68" s="47"/>
      <c r="AB68" s="50"/>
      <c r="AC68" s="102"/>
    </row>
    <row r="69" spans="1:29">
      <c r="A69" s="145" t="s">
        <v>166</v>
      </c>
      <c r="B69" s="146" t="s">
        <v>370</v>
      </c>
      <c r="C69" s="147" t="s">
        <v>164</v>
      </c>
      <c r="D69" s="147" t="s">
        <v>283</v>
      </c>
      <c r="E69" s="147" t="s">
        <v>316</v>
      </c>
      <c r="F69" s="148">
        <v>0</v>
      </c>
      <c r="G69" s="148">
        <v>216000000</v>
      </c>
      <c r="H69" s="149" t="s">
        <v>319</v>
      </c>
      <c r="I69" s="143">
        <f t="shared" si="10"/>
        <v>151200000</v>
      </c>
      <c r="J69" s="152"/>
      <c r="K69" s="69"/>
      <c r="L69" s="68">
        <f t="shared" si="11"/>
        <v>151200000</v>
      </c>
      <c r="M69" s="68">
        <v>12000000</v>
      </c>
      <c r="N69" s="68"/>
      <c r="O69" s="68"/>
      <c r="P69" s="68"/>
      <c r="Q69" s="68"/>
      <c r="R69" s="68"/>
      <c r="S69" s="51"/>
      <c r="T69" s="51"/>
      <c r="U69" s="51"/>
      <c r="V69" s="51"/>
      <c r="W69" s="51"/>
      <c r="X69" s="51"/>
      <c r="Y69" s="51"/>
      <c r="Z69" s="51"/>
      <c r="AA69" s="111"/>
      <c r="AB69" s="70"/>
    </row>
    <row r="70" spans="1:29">
      <c r="A70" s="145" t="s">
        <v>166</v>
      </c>
      <c r="B70" s="146" t="s">
        <v>370</v>
      </c>
      <c r="C70" s="147" t="s">
        <v>164</v>
      </c>
      <c r="D70" s="147" t="s">
        <v>283</v>
      </c>
      <c r="E70" s="147" t="s">
        <v>317</v>
      </c>
      <c r="F70" s="148">
        <v>0</v>
      </c>
      <c r="G70" s="148">
        <v>25200000</v>
      </c>
      <c r="H70" s="149" t="s">
        <v>319</v>
      </c>
      <c r="I70" s="143">
        <f t="shared" si="10"/>
        <v>17640000</v>
      </c>
      <c r="J70" s="152"/>
      <c r="K70" s="69"/>
      <c r="L70" s="68">
        <f t="shared" si="11"/>
        <v>17640000</v>
      </c>
      <c r="M70" s="68">
        <v>1316880</v>
      </c>
      <c r="N70" s="68"/>
      <c r="O70" s="68"/>
      <c r="P70" s="68"/>
      <c r="Q70" s="68"/>
      <c r="R70" s="68"/>
      <c r="S70" s="51"/>
      <c r="T70" s="51"/>
      <c r="U70" s="51"/>
      <c r="V70" s="51"/>
      <c r="W70" s="51"/>
      <c r="X70" s="51"/>
      <c r="Y70" s="51"/>
      <c r="Z70" s="51"/>
      <c r="AA70" s="111"/>
      <c r="AB70" s="70"/>
    </row>
    <row r="71" spans="1:29">
      <c r="A71" s="145" t="s">
        <v>166</v>
      </c>
      <c r="B71" s="146" t="s">
        <v>370</v>
      </c>
      <c r="C71" s="147" t="s">
        <v>164</v>
      </c>
      <c r="D71" s="147" t="s">
        <v>283</v>
      </c>
      <c r="E71" s="147" t="s">
        <v>318</v>
      </c>
      <c r="F71" s="148">
        <v>0</v>
      </c>
      <c r="G71" s="148">
        <v>18000000</v>
      </c>
      <c r="H71" s="149" t="s">
        <v>319</v>
      </c>
      <c r="I71" s="143">
        <f t="shared" si="10"/>
        <v>12600000</v>
      </c>
      <c r="J71" s="152"/>
      <c r="K71" s="69"/>
      <c r="L71" s="68">
        <f t="shared" si="11"/>
        <v>12600000</v>
      </c>
      <c r="M71" s="68"/>
      <c r="N71" s="68"/>
      <c r="O71" s="68"/>
      <c r="P71" s="68"/>
      <c r="Q71" s="68"/>
      <c r="R71" s="68"/>
      <c r="S71" s="51"/>
      <c r="T71" s="51"/>
      <c r="U71" s="51"/>
      <c r="V71" s="51"/>
      <c r="W71" s="51"/>
      <c r="X71" s="51"/>
      <c r="Y71" s="51"/>
      <c r="Z71" s="51"/>
      <c r="AA71" s="111"/>
      <c r="AB71" s="70"/>
    </row>
    <row r="72" spans="1:29">
      <c r="A72" s="145" t="s">
        <v>307</v>
      </c>
      <c r="B72" s="146" t="s">
        <v>377</v>
      </c>
      <c r="C72" s="147" t="s">
        <v>308</v>
      </c>
      <c r="D72" s="147" t="s">
        <v>435</v>
      </c>
      <c r="E72" s="147" t="s">
        <v>309</v>
      </c>
      <c r="F72" s="148">
        <v>0</v>
      </c>
      <c r="G72" s="148">
        <v>107000000</v>
      </c>
      <c r="H72" s="149" t="s">
        <v>314</v>
      </c>
      <c r="I72" s="143">
        <f t="shared" si="10"/>
        <v>74900000</v>
      </c>
      <c r="J72" s="152"/>
      <c r="K72" s="69"/>
      <c r="L72" s="68">
        <f t="shared" si="11"/>
        <v>74900000</v>
      </c>
      <c r="M72" s="68"/>
      <c r="N72" s="68"/>
      <c r="O72" s="68"/>
      <c r="P72" s="68"/>
      <c r="Q72" s="68"/>
      <c r="R72" s="68"/>
      <c r="S72" s="51"/>
      <c r="T72" s="51"/>
      <c r="U72" s="51"/>
      <c r="V72" s="51"/>
      <c r="W72" s="51"/>
      <c r="X72" s="51"/>
      <c r="Y72" s="51"/>
      <c r="Z72" s="51"/>
      <c r="AA72" s="111"/>
      <c r="AB72" s="70"/>
    </row>
    <row r="73" spans="1:29">
      <c r="A73" s="145" t="s">
        <v>307</v>
      </c>
      <c r="B73" s="146" t="s">
        <v>371</v>
      </c>
      <c r="C73" s="147" t="s">
        <v>308</v>
      </c>
      <c r="D73" s="147" t="s">
        <v>436</v>
      </c>
      <c r="E73" s="147" t="s">
        <v>309</v>
      </c>
      <c r="F73" s="148">
        <v>0</v>
      </c>
      <c r="G73" s="148">
        <v>16300000</v>
      </c>
      <c r="H73" s="149" t="s">
        <v>438</v>
      </c>
      <c r="I73" s="143">
        <f>G73*0.7</f>
        <v>11410000</v>
      </c>
      <c r="J73" s="152"/>
      <c r="K73" s="69"/>
      <c r="L73" s="68">
        <f t="shared" si="11"/>
        <v>11410000</v>
      </c>
      <c r="M73" s="68"/>
      <c r="N73" s="68"/>
      <c r="O73" s="68"/>
      <c r="P73" s="68"/>
      <c r="Q73" s="68"/>
      <c r="R73" s="68"/>
      <c r="S73" s="51"/>
      <c r="T73" s="51"/>
      <c r="U73" s="51"/>
      <c r="V73" s="51"/>
      <c r="W73" s="51"/>
      <c r="X73" s="51"/>
      <c r="Y73" s="51"/>
      <c r="Z73" s="51"/>
      <c r="AA73" s="111"/>
      <c r="AB73" s="70"/>
    </row>
    <row r="74" spans="1:29" ht="17.25" thickBot="1">
      <c r="A74" s="203" t="s">
        <v>26</v>
      </c>
      <c r="B74" s="204"/>
      <c r="C74" s="205"/>
      <c r="D74" s="205"/>
      <c r="E74" s="205"/>
      <c r="F74" s="150">
        <f>SUBTOTAL(9,F3:F73)</f>
        <v>10800000000</v>
      </c>
      <c r="G74" s="150">
        <f>SUBTOTAL(9,G3:G73)</f>
        <v>10800000000</v>
      </c>
      <c r="H74" s="151"/>
      <c r="I74" s="150">
        <f t="shared" ref="I74:X74" si="12">SUBTOTAL(9,I3:I73)</f>
        <v>7560000000</v>
      </c>
      <c r="J74" s="105">
        <f t="shared" si="12"/>
        <v>0</v>
      </c>
      <c r="K74" s="105">
        <f t="shared" si="12"/>
        <v>0</v>
      </c>
      <c r="L74" s="105">
        <f t="shared" si="12"/>
        <v>7560000000</v>
      </c>
      <c r="M74" s="105">
        <f t="shared" si="12"/>
        <v>17408880</v>
      </c>
      <c r="N74" s="105">
        <f t="shared" si="12"/>
        <v>0</v>
      </c>
      <c r="O74" s="105">
        <f t="shared" si="12"/>
        <v>0</v>
      </c>
      <c r="P74" s="105">
        <f t="shared" si="12"/>
        <v>0</v>
      </c>
      <c r="Q74" s="105">
        <f t="shared" si="12"/>
        <v>0</v>
      </c>
      <c r="R74" s="105">
        <f t="shared" si="12"/>
        <v>0</v>
      </c>
      <c r="S74" s="105">
        <f t="shared" si="12"/>
        <v>0</v>
      </c>
      <c r="T74" s="105">
        <f t="shared" si="12"/>
        <v>0</v>
      </c>
      <c r="U74" s="105">
        <f t="shared" si="12"/>
        <v>0</v>
      </c>
      <c r="V74" s="105">
        <f t="shared" si="12"/>
        <v>0</v>
      </c>
      <c r="W74" s="105">
        <f t="shared" si="12"/>
        <v>0</v>
      </c>
      <c r="X74" s="105">
        <f t="shared" si="12"/>
        <v>0</v>
      </c>
      <c r="Y74" s="105">
        <f>SUBTOTAL(9,Y3:Y68)</f>
        <v>0</v>
      </c>
      <c r="Z74" s="105">
        <f>SUBTOTAL(9,Z3:Z68)</f>
        <v>0</v>
      </c>
      <c r="AA74" s="106">
        <f>Y74/L74</f>
        <v>0</v>
      </c>
      <c r="AB74" s="107"/>
    </row>
    <row r="75" spans="1:29">
      <c r="F75" s="28"/>
      <c r="G75" s="9"/>
      <c r="H75" s="28"/>
      <c r="I75" s="9"/>
      <c r="J75" s="9"/>
      <c r="L75" s="9"/>
    </row>
    <row r="78" spans="1:29">
      <c r="F78" s="9"/>
    </row>
    <row r="79" spans="1:29">
      <c r="F79" s="9"/>
      <c r="G79" s="9"/>
    </row>
    <row r="80" spans="1:29">
      <c r="F80" s="9"/>
    </row>
  </sheetData>
  <mergeCells count="18">
    <mergeCell ref="Z1:Z2"/>
    <mergeCell ref="AA1:AA2"/>
    <mergeCell ref="AB1:AB2"/>
    <mergeCell ref="M1:X1"/>
    <mergeCell ref="K1:K2"/>
    <mergeCell ref="L1:L2"/>
    <mergeCell ref="I1:I2"/>
    <mergeCell ref="C1:C2"/>
    <mergeCell ref="Y1:Y2"/>
    <mergeCell ref="A74:E74"/>
    <mergeCell ref="H1:H2"/>
    <mergeCell ref="A1:A2"/>
    <mergeCell ref="E1:E2"/>
    <mergeCell ref="F1:F2"/>
    <mergeCell ref="G1:G2"/>
    <mergeCell ref="B1:B2"/>
    <mergeCell ref="D1:D2"/>
    <mergeCell ref="J1:J2"/>
  </mergeCells>
  <phoneticPr fontId="20" type="noConversion"/>
  <conditionalFormatting sqref="Z3:Z74">
    <cfRule type="cellIs" dxfId="9" priority="2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1"/>
  <sheetViews>
    <sheetView zoomScale="85" zoomScaleNormal="85" workbookViewId="0">
      <pane xSplit="4" topLeftCell="E1" activePane="topRight" state="frozen"/>
      <selection activeCell="E26" sqref="E26"/>
      <selection pane="topRight" activeCell="E26" sqref="E26"/>
    </sheetView>
  </sheetViews>
  <sheetFormatPr defaultRowHeight="16.5"/>
  <cols>
    <col min="2" max="2" width="27" style="1" customWidth="1"/>
    <col min="3" max="3" width="16.375" style="1" customWidth="1"/>
    <col min="4" max="4" width="13.25" style="109" customWidth="1"/>
    <col min="5" max="5" width="15.25" customWidth="1" collapsed="1"/>
    <col min="6" max="6" width="15.25" customWidth="1"/>
    <col min="7" max="7" width="13" customWidth="1"/>
    <col min="8" max="8" width="14.625" bestFit="1" customWidth="1"/>
    <col min="9" max="9" width="14" customWidth="1"/>
    <col min="10" max="10" width="22.875" style="4" customWidth="1"/>
    <col min="11" max="15" width="12.625" style="6" customWidth="1"/>
    <col min="16" max="16" width="12.625" style="6" bestFit="1" customWidth="1"/>
    <col min="17" max="22" width="12.625" customWidth="1"/>
    <col min="23" max="23" width="14.375" bestFit="1" customWidth="1"/>
    <col min="24" max="24" width="15.75" bestFit="1" customWidth="1"/>
    <col min="25" max="25" width="9.5" bestFit="1" customWidth="1"/>
    <col min="26" max="26" width="57.875" bestFit="1" customWidth="1"/>
  </cols>
  <sheetData>
    <row r="1" spans="1:26" ht="16.5" customHeight="1">
      <c r="A1" s="201" t="s">
        <v>332</v>
      </c>
      <c r="B1" s="201" t="s">
        <v>398</v>
      </c>
      <c r="C1" s="220" t="s">
        <v>378</v>
      </c>
      <c r="D1" s="201" t="s">
        <v>0</v>
      </c>
      <c r="E1" s="219" t="s">
        <v>99</v>
      </c>
      <c r="F1" s="219" t="s">
        <v>57</v>
      </c>
      <c r="G1" s="219" t="s">
        <v>68</v>
      </c>
      <c r="H1" s="219" t="s">
        <v>104</v>
      </c>
      <c r="I1" s="219" t="s">
        <v>63</v>
      </c>
      <c r="J1" s="219" t="s">
        <v>72</v>
      </c>
      <c r="K1" s="215" t="s">
        <v>35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9" t="s">
        <v>64</v>
      </c>
      <c r="X1" s="219" t="s">
        <v>65</v>
      </c>
      <c r="Y1" s="219" t="s">
        <v>66</v>
      </c>
      <c r="Z1" s="215" t="s">
        <v>36</v>
      </c>
    </row>
    <row r="2" spans="1:26">
      <c r="A2" s="201"/>
      <c r="B2" s="201"/>
      <c r="C2" s="213"/>
      <c r="D2" s="201"/>
      <c r="E2" s="219"/>
      <c r="F2" s="219"/>
      <c r="G2" s="219"/>
      <c r="H2" s="219"/>
      <c r="I2" s="219"/>
      <c r="J2" s="219"/>
      <c r="K2" s="104" t="s">
        <v>37</v>
      </c>
      <c r="L2" s="104" t="s">
        <v>2</v>
      </c>
      <c r="M2" s="104" t="s">
        <v>3</v>
      </c>
      <c r="N2" s="104" t="s">
        <v>4</v>
      </c>
      <c r="O2" s="104" t="s">
        <v>5</v>
      </c>
      <c r="P2" s="104" t="s">
        <v>61</v>
      </c>
      <c r="Q2" s="113" t="s">
        <v>67</v>
      </c>
      <c r="R2" s="113" t="s">
        <v>8</v>
      </c>
      <c r="S2" s="113" t="s">
        <v>9</v>
      </c>
      <c r="T2" s="113" t="s">
        <v>10</v>
      </c>
      <c r="U2" s="113" t="s">
        <v>11</v>
      </c>
      <c r="V2" s="113" t="s">
        <v>38</v>
      </c>
      <c r="W2" s="219"/>
      <c r="X2" s="219"/>
      <c r="Y2" s="219"/>
      <c r="Z2" s="215"/>
    </row>
    <row r="3" spans="1:26" ht="20.100000000000001" customHeight="1">
      <c r="A3" s="17" t="s">
        <v>333</v>
      </c>
      <c r="B3" s="17" t="s">
        <v>386</v>
      </c>
      <c r="C3" s="17" t="s">
        <v>379</v>
      </c>
      <c r="D3" s="17" t="s">
        <v>77</v>
      </c>
      <c r="E3" s="20">
        <v>20000000</v>
      </c>
      <c r="F3" s="3"/>
      <c r="G3" s="3"/>
      <c r="H3" s="20"/>
      <c r="I3" s="23">
        <f t="shared" ref="I3:I48" si="0">SUM(F3:H3)</f>
        <v>0</v>
      </c>
      <c r="J3" s="34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>
        <f>SUM(K3:V3)</f>
        <v>0</v>
      </c>
      <c r="X3" s="20">
        <f t="shared" ref="X3:X48" si="1">I3-W3</f>
        <v>0</v>
      </c>
      <c r="Y3" s="22" t="e">
        <f>W3/I3</f>
        <v>#DIV/0!</v>
      </c>
      <c r="Z3" s="115"/>
    </row>
    <row r="4" spans="1:26" ht="20.100000000000001" customHeight="1">
      <c r="A4" s="17" t="s">
        <v>333</v>
      </c>
      <c r="B4" s="17" t="s">
        <v>386</v>
      </c>
      <c r="C4" s="17" t="s">
        <v>379</v>
      </c>
      <c r="D4" s="17" t="s">
        <v>89</v>
      </c>
      <c r="E4" s="20">
        <v>57600000</v>
      </c>
      <c r="F4" s="3"/>
      <c r="G4" s="3"/>
      <c r="H4" s="20"/>
      <c r="I4" s="23">
        <f t="shared" si="0"/>
        <v>0</v>
      </c>
      <c r="J4" s="34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>
        <f t="shared" ref="W4:W48" si="2">SUM(K4:V4)</f>
        <v>0</v>
      </c>
      <c r="X4" s="20">
        <f t="shared" si="1"/>
        <v>0</v>
      </c>
      <c r="Y4" s="22" t="e">
        <f t="shared" ref="Y4:Y49" si="3">W4/I4</f>
        <v>#DIV/0!</v>
      </c>
      <c r="Z4" s="115"/>
    </row>
    <row r="5" spans="1:26" ht="20.100000000000001" customHeight="1">
      <c r="A5" s="17" t="s">
        <v>333</v>
      </c>
      <c r="B5" s="17" t="s">
        <v>387</v>
      </c>
      <c r="C5" s="17" t="s">
        <v>379</v>
      </c>
      <c r="D5" s="17" t="s">
        <v>77</v>
      </c>
      <c r="E5" s="108">
        <v>18540000</v>
      </c>
      <c r="F5" s="3"/>
      <c r="G5" s="3"/>
      <c r="H5" s="20"/>
      <c r="I5" s="23">
        <f t="shared" si="0"/>
        <v>0</v>
      </c>
      <c r="J5" s="34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>
        <f t="shared" si="2"/>
        <v>0</v>
      </c>
      <c r="X5" s="20">
        <f t="shared" si="1"/>
        <v>0</v>
      </c>
      <c r="Y5" s="22" t="e">
        <f t="shared" si="3"/>
        <v>#DIV/0!</v>
      </c>
      <c r="Z5" s="115"/>
    </row>
    <row r="6" spans="1:26" ht="20.100000000000001" customHeight="1">
      <c r="A6" s="17" t="s">
        <v>333</v>
      </c>
      <c r="B6" s="17" t="s">
        <v>387</v>
      </c>
      <c r="C6" s="17" t="s">
        <v>379</v>
      </c>
      <c r="D6" s="17" t="s">
        <v>21</v>
      </c>
      <c r="E6" s="108">
        <v>31760000</v>
      </c>
      <c r="F6" s="3"/>
      <c r="G6" s="3"/>
      <c r="H6" s="20"/>
      <c r="I6" s="23">
        <f t="shared" si="0"/>
        <v>0</v>
      </c>
      <c r="J6" s="34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f t="shared" si="2"/>
        <v>0</v>
      </c>
      <c r="X6" s="20">
        <f t="shared" si="1"/>
        <v>0</v>
      </c>
      <c r="Y6" s="22" t="e">
        <f t="shared" si="3"/>
        <v>#DIV/0!</v>
      </c>
      <c r="Z6" s="115"/>
    </row>
    <row r="7" spans="1:26" ht="20.100000000000001" customHeight="1">
      <c r="A7" s="17" t="s">
        <v>333</v>
      </c>
      <c r="B7" s="17" t="s">
        <v>387</v>
      </c>
      <c r="C7" s="17" t="s">
        <v>379</v>
      </c>
      <c r="D7" s="17" t="s">
        <v>20</v>
      </c>
      <c r="E7" s="108">
        <v>41900000</v>
      </c>
      <c r="F7" s="3"/>
      <c r="G7" s="3"/>
      <c r="H7" s="20"/>
      <c r="I7" s="23">
        <f t="shared" si="0"/>
        <v>0</v>
      </c>
      <c r="J7" s="34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>
        <f t="shared" si="2"/>
        <v>0</v>
      </c>
      <c r="X7" s="20">
        <f t="shared" si="1"/>
        <v>0</v>
      </c>
      <c r="Y7" s="22" t="e">
        <f t="shared" si="3"/>
        <v>#DIV/0!</v>
      </c>
      <c r="Z7" s="115"/>
    </row>
    <row r="8" spans="1:26" ht="20.100000000000001" customHeight="1">
      <c r="A8" s="17" t="s">
        <v>333</v>
      </c>
      <c r="B8" s="17" t="s">
        <v>387</v>
      </c>
      <c r="C8" s="17" t="s">
        <v>379</v>
      </c>
      <c r="D8" s="17" t="s">
        <v>131</v>
      </c>
      <c r="E8" s="110">
        <v>6000000</v>
      </c>
      <c r="F8" s="3"/>
      <c r="G8" s="3"/>
      <c r="H8" s="20"/>
      <c r="I8" s="23">
        <f t="shared" si="0"/>
        <v>0</v>
      </c>
      <c r="J8" s="34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>
        <f t="shared" si="2"/>
        <v>0</v>
      </c>
      <c r="X8" s="20">
        <f t="shared" si="1"/>
        <v>0</v>
      </c>
      <c r="Y8" s="22" t="e">
        <f t="shared" si="3"/>
        <v>#DIV/0!</v>
      </c>
      <c r="Z8" s="115"/>
    </row>
    <row r="9" spans="1:26" ht="20.100000000000001" customHeight="1">
      <c r="A9" s="17" t="s">
        <v>334</v>
      </c>
      <c r="B9" s="17" t="s">
        <v>388</v>
      </c>
      <c r="C9" s="17" t="s">
        <v>380</v>
      </c>
      <c r="D9" s="17" t="s">
        <v>100</v>
      </c>
      <c r="E9" s="20">
        <v>15300000</v>
      </c>
      <c r="F9" s="3"/>
      <c r="G9" s="3"/>
      <c r="H9" s="20"/>
      <c r="I9" s="23">
        <f t="shared" si="0"/>
        <v>0</v>
      </c>
      <c r="J9" s="33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>
        <f t="shared" si="2"/>
        <v>0</v>
      </c>
      <c r="X9" s="20">
        <f t="shared" si="1"/>
        <v>0</v>
      </c>
      <c r="Y9" s="22" t="e">
        <f t="shared" si="3"/>
        <v>#DIV/0!</v>
      </c>
      <c r="Z9" s="115"/>
    </row>
    <row r="10" spans="1:26" ht="20.100000000000001" customHeight="1">
      <c r="A10" s="17" t="s">
        <v>334</v>
      </c>
      <c r="B10" s="17" t="s">
        <v>388</v>
      </c>
      <c r="C10" s="17" t="s">
        <v>380</v>
      </c>
      <c r="D10" s="17" t="s">
        <v>43</v>
      </c>
      <c r="E10" s="20">
        <v>11500000</v>
      </c>
      <c r="F10" s="3"/>
      <c r="G10" s="3"/>
      <c r="H10" s="20"/>
      <c r="I10" s="23">
        <f t="shared" si="0"/>
        <v>0</v>
      </c>
      <c r="J10" s="33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>
        <f t="shared" si="2"/>
        <v>0</v>
      </c>
      <c r="X10" s="20">
        <f t="shared" si="1"/>
        <v>0</v>
      </c>
      <c r="Y10" s="22" t="e">
        <f t="shared" si="3"/>
        <v>#DIV/0!</v>
      </c>
      <c r="Z10" s="115"/>
    </row>
    <row r="11" spans="1:26" ht="20.100000000000001" customHeight="1">
      <c r="A11" s="17" t="s">
        <v>334</v>
      </c>
      <c r="B11" s="17" t="s">
        <v>388</v>
      </c>
      <c r="C11" s="17" t="s">
        <v>380</v>
      </c>
      <c r="D11" s="17" t="s">
        <v>132</v>
      </c>
      <c r="E11" s="20">
        <v>500000</v>
      </c>
      <c r="F11" s="3"/>
      <c r="G11" s="3"/>
      <c r="H11" s="20"/>
      <c r="I11" s="23">
        <f t="shared" si="0"/>
        <v>0</v>
      </c>
      <c r="J11" s="34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>
        <f t="shared" si="2"/>
        <v>0</v>
      </c>
      <c r="X11" s="20">
        <f t="shared" si="1"/>
        <v>0</v>
      </c>
      <c r="Y11" s="22" t="e">
        <f t="shared" si="3"/>
        <v>#DIV/0!</v>
      </c>
      <c r="Z11" s="115"/>
    </row>
    <row r="12" spans="1:26" ht="20.100000000000001" customHeight="1">
      <c r="A12" s="17" t="s">
        <v>334</v>
      </c>
      <c r="B12" s="17" t="s">
        <v>388</v>
      </c>
      <c r="C12" s="17" t="s">
        <v>380</v>
      </c>
      <c r="D12" s="17" t="s">
        <v>133</v>
      </c>
      <c r="E12" s="20">
        <v>5000000</v>
      </c>
      <c r="F12" s="3"/>
      <c r="G12" s="3"/>
      <c r="H12" s="20"/>
      <c r="I12" s="23">
        <f t="shared" si="0"/>
        <v>0</v>
      </c>
      <c r="J12" s="34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>
        <f t="shared" si="2"/>
        <v>0</v>
      </c>
      <c r="X12" s="20">
        <f t="shared" si="1"/>
        <v>0</v>
      </c>
      <c r="Y12" s="22" t="e">
        <f t="shared" si="3"/>
        <v>#DIV/0!</v>
      </c>
      <c r="Z12" s="115"/>
    </row>
    <row r="13" spans="1:26" ht="20.100000000000001" customHeight="1">
      <c r="A13" s="17" t="s">
        <v>334</v>
      </c>
      <c r="B13" s="17" t="s">
        <v>388</v>
      </c>
      <c r="C13" s="17" t="s">
        <v>380</v>
      </c>
      <c r="D13" s="17" t="s">
        <v>106</v>
      </c>
      <c r="E13" s="20">
        <v>2390000</v>
      </c>
      <c r="F13" s="3"/>
      <c r="G13" s="3"/>
      <c r="H13" s="20"/>
      <c r="I13" s="23">
        <f t="shared" si="0"/>
        <v>0</v>
      </c>
      <c r="J13" s="116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>
        <f t="shared" si="2"/>
        <v>0</v>
      </c>
      <c r="X13" s="20">
        <f t="shared" si="1"/>
        <v>0</v>
      </c>
      <c r="Y13" s="22" t="e">
        <f t="shared" si="3"/>
        <v>#DIV/0!</v>
      </c>
      <c r="Z13" s="115"/>
    </row>
    <row r="14" spans="1:26" ht="20.100000000000001" customHeight="1">
      <c r="A14" s="17" t="s">
        <v>334</v>
      </c>
      <c r="B14" s="17" t="s">
        <v>388</v>
      </c>
      <c r="C14" s="17" t="s">
        <v>380</v>
      </c>
      <c r="D14" s="17" t="s">
        <v>45</v>
      </c>
      <c r="E14" s="110">
        <v>1000000</v>
      </c>
      <c r="F14" s="3"/>
      <c r="G14" s="3"/>
      <c r="H14" s="20"/>
      <c r="I14" s="23">
        <f t="shared" si="0"/>
        <v>0</v>
      </c>
      <c r="J14" s="33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>
        <f t="shared" si="2"/>
        <v>0</v>
      </c>
      <c r="X14" s="20">
        <f t="shared" si="1"/>
        <v>0</v>
      </c>
      <c r="Y14" s="22" t="e">
        <f t="shared" si="3"/>
        <v>#DIV/0!</v>
      </c>
      <c r="Z14" s="117"/>
    </row>
    <row r="15" spans="1:26" ht="20.100000000000001" customHeight="1">
      <c r="A15" s="17" t="s">
        <v>335</v>
      </c>
      <c r="B15" s="17" t="s">
        <v>389</v>
      </c>
      <c r="C15" s="17" t="s">
        <v>283</v>
      </c>
      <c r="D15" s="17" t="s">
        <v>100</v>
      </c>
      <c r="E15" s="20">
        <v>6000000</v>
      </c>
      <c r="F15" s="3"/>
      <c r="G15" s="3"/>
      <c r="H15" s="20"/>
      <c r="I15" s="23">
        <f t="shared" si="0"/>
        <v>0</v>
      </c>
      <c r="J15" s="33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>
        <f t="shared" si="2"/>
        <v>0</v>
      </c>
      <c r="X15" s="20">
        <f t="shared" si="1"/>
        <v>0</v>
      </c>
      <c r="Y15" s="22" t="e">
        <f t="shared" si="3"/>
        <v>#DIV/0!</v>
      </c>
      <c r="Z15" s="115"/>
    </row>
    <row r="16" spans="1:26" ht="20.100000000000001" customHeight="1">
      <c r="A16" s="17" t="s">
        <v>335</v>
      </c>
      <c r="B16" s="17" t="s">
        <v>389</v>
      </c>
      <c r="C16" s="17" t="s">
        <v>283</v>
      </c>
      <c r="D16" s="17" t="s">
        <v>43</v>
      </c>
      <c r="E16" s="20">
        <v>12000000</v>
      </c>
      <c r="F16" s="3"/>
      <c r="G16" s="3"/>
      <c r="H16" s="20"/>
      <c r="I16" s="23">
        <f t="shared" si="0"/>
        <v>0</v>
      </c>
      <c r="J16" s="34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>
        <f t="shared" si="2"/>
        <v>0</v>
      </c>
      <c r="X16" s="20">
        <f t="shared" si="1"/>
        <v>0</v>
      </c>
      <c r="Y16" s="22" t="e">
        <f t="shared" si="3"/>
        <v>#DIV/0!</v>
      </c>
      <c r="Z16" s="115"/>
    </row>
    <row r="17" spans="1:26" ht="20.100000000000001" customHeight="1">
      <c r="A17" s="17" t="s">
        <v>335</v>
      </c>
      <c r="B17" s="17" t="s">
        <v>389</v>
      </c>
      <c r="C17" s="17" t="s">
        <v>283</v>
      </c>
      <c r="D17" s="17" t="s">
        <v>133</v>
      </c>
      <c r="E17" s="20">
        <v>3000000</v>
      </c>
      <c r="F17" s="3"/>
      <c r="G17" s="3"/>
      <c r="H17" s="20"/>
      <c r="I17" s="23">
        <f t="shared" si="0"/>
        <v>0</v>
      </c>
      <c r="J17" s="34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>
        <f t="shared" si="2"/>
        <v>0</v>
      </c>
      <c r="X17" s="20">
        <f t="shared" si="1"/>
        <v>0</v>
      </c>
      <c r="Y17" s="22" t="e">
        <f t="shared" si="3"/>
        <v>#DIV/0!</v>
      </c>
      <c r="Z17" s="115"/>
    </row>
    <row r="18" spans="1:26" ht="20.100000000000001" customHeight="1">
      <c r="A18" s="17" t="s">
        <v>335</v>
      </c>
      <c r="B18" s="17" t="s">
        <v>389</v>
      </c>
      <c r="C18" s="17" t="s">
        <v>283</v>
      </c>
      <c r="D18" s="17" t="s">
        <v>106</v>
      </c>
      <c r="E18" s="20">
        <v>4100000</v>
      </c>
      <c r="F18" s="3"/>
      <c r="G18" s="3"/>
      <c r="H18" s="20"/>
      <c r="I18" s="23">
        <f t="shared" si="0"/>
        <v>0</v>
      </c>
      <c r="J18" s="35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>
        <f t="shared" si="2"/>
        <v>0</v>
      </c>
      <c r="X18" s="20">
        <f t="shared" si="1"/>
        <v>0</v>
      </c>
      <c r="Y18" s="22" t="e">
        <f t="shared" si="3"/>
        <v>#DIV/0!</v>
      </c>
      <c r="Z18" s="115"/>
    </row>
    <row r="19" spans="1:26" ht="20.100000000000001" customHeight="1">
      <c r="A19" s="17" t="s">
        <v>335</v>
      </c>
      <c r="B19" s="17" t="s">
        <v>389</v>
      </c>
      <c r="C19" s="17" t="s">
        <v>283</v>
      </c>
      <c r="D19" s="17" t="s">
        <v>45</v>
      </c>
      <c r="E19" s="110">
        <v>3000000</v>
      </c>
      <c r="F19" s="3"/>
      <c r="G19" s="3"/>
      <c r="H19" s="20"/>
      <c r="I19" s="23">
        <f t="shared" si="0"/>
        <v>0</v>
      </c>
      <c r="J19" s="34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>
        <f t="shared" si="2"/>
        <v>0</v>
      </c>
      <c r="X19" s="20">
        <f t="shared" si="1"/>
        <v>0</v>
      </c>
      <c r="Y19" s="22" t="e">
        <f t="shared" si="3"/>
        <v>#DIV/0!</v>
      </c>
      <c r="Z19" s="115"/>
    </row>
    <row r="20" spans="1:26" ht="20.100000000000001" customHeight="1">
      <c r="A20" s="17" t="s">
        <v>336</v>
      </c>
      <c r="B20" s="17" t="s">
        <v>390</v>
      </c>
      <c r="C20" s="17" t="s">
        <v>270</v>
      </c>
      <c r="D20" s="17" t="s">
        <v>100</v>
      </c>
      <c r="E20" s="20">
        <v>10500000</v>
      </c>
      <c r="F20" s="3"/>
      <c r="G20" s="3"/>
      <c r="H20" s="20"/>
      <c r="I20" s="23">
        <f t="shared" si="0"/>
        <v>0</v>
      </c>
      <c r="J20" s="34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>
        <f t="shared" si="2"/>
        <v>0</v>
      </c>
      <c r="X20" s="20">
        <f t="shared" si="1"/>
        <v>0</v>
      </c>
      <c r="Y20" s="22" t="e">
        <f t="shared" si="3"/>
        <v>#DIV/0!</v>
      </c>
      <c r="Z20" s="115"/>
    </row>
    <row r="21" spans="1:26" ht="20.100000000000001" customHeight="1">
      <c r="A21" s="17" t="s">
        <v>336</v>
      </c>
      <c r="B21" s="17" t="s">
        <v>390</v>
      </c>
      <c r="C21" s="17" t="s">
        <v>270</v>
      </c>
      <c r="D21" s="17" t="s">
        <v>43</v>
      </c>
      <c r="E21" s="20">
        <v>420000000</v>
      </c>
      <c r="F21" s="3"/>
      <c r="G21" s="3"/>
      <c r="H21" s="20"/>
      <c r="I21" s="23">
        <f t="shared" si="0"/>
        <v>0</v>
      </c>
      <c r="J21" s="34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>
        <f t="shared" si="2"/>
        <v>0</v>
      </c>
      <c r="X21" s="20">
        <f t="shared" si="1"/>
        <v>0</v>
      </c>
      <c r="Y21" s="22" t="e">
        <f t="shared" si="3"/>
        <v>#DIV/0!</v>
      </c>
      <c r="Z21" s="115"/>
    </row>
    <row r="22" spans="1:26" ht="20.100000000000001" customHeight="1">
      <c r="A22" s="17" t="s">
        <v>336</v>
      </c>
      <c r="B22" s="17" t="s">
        <v>390</v>
      </c>
      <c r="C22" s="17" t="s">
        <v>270</v>
      </c>
      <c r="D22" s="17" t="s">
        <v>132</v>
      </c>
      <c r="E22" s="20">
        <v>800000</v>
      </c>
      <c r="F22" s="3"/>
      <c r="G22" s="3"/>
      <c r="H22" s="20"/>
      <c r="I22" s="23">
        <f t="shared" si="0"/>
        <v>0</v>
      </c>
      <c r="J22" s="34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>
        <f t="shared" si="2"/>
        <v>0</v>
      </c>
      <c r="X22" s="20">
        <f t="shared" si="1"/>
        <v>0</v>
      </c>
      <c r="Y22" s="22" t="e">
        <f t="shared" si="3"/>
        <v>#DIV/0!</v>
      </c>
      <c r="Z22" s="115"/>
    </row>
    <row r="23" spans="1:26" ht="20.100000000000001" customHeight="1">
      <c r="A23" s="17" t="s">
        <v>336</v>
      </c>
      <c r="B23" s="17" t="s">
        <v>390</v>
      </c>
      <c r="C23" s="17" t="s">
        <v>270</v>
      </c>
      <c r="D23" s="17" t="s">
        <v>106</v>
      </c>
      <c r="E23" s="20">
        <v>2500000</v>
      </c>
      <c r="F23" s="3"/>
      <c r="G23" s="3"/>
      <c r="H23" s="20"/>
      <c r="I23" s="23">
        <f t="shared" si="0"/>
        <v>0</v>
      </c>
      <c r="J23" s="34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>
        <f t="shared" si="2"/>
        <v>0</v>
      </c>
      <c r="X23" s="20">
        <f t="shared" si="1"/>
        <v>0</v>
      </c>
      <c r="Y23" s="22" t="e">
        <f t="shared" si="3"/>
        <v>#DIV/0!</v>
      </c>
      <c r="Z23" s="115"/>
    </row>
    <row r="24" spans="1:26" ht="20.100000000000001" customHeight="1">
      <c r="A24" s="17" t="s">
        <v>336</v>
      </c>
      <c r="B24" s="17" t="s">
        <v>390</v>
      </c>
      <c r="C24" s="17" t="s">
        <v>270</v>
      </c>
      <c r="D24" s="17" t="s">
        <v>45</v>
      </c>
      <c r="E24" s="110">
        <v>15050000</v>
      </c>
      <c r="F24" s="3"/>
      <c r="G24" s="3"/>
      <c r="H24" s="20"/>
      <c r="I24" s="23">
        <f t="shared" si="0"/>
        <v>0</v>
      </c>
      <c r="J24" s="34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>
        <f t="shared" si="2"/>
        <v>0</v>
      </c>
      <c r="X24" s="20">
        <f t="shared" si="1"/>
        <v>0</v>
      </c>
      <c r="Y24" s="22" t="e">
        <f t="shared" si="3"/>
        <v>#DIV/0!</v>
      </c>
      <c r="Z24" s="115"/>
    </row>
    <row r="25" spans="1:26" ht="20.100000000000001" customHeight="1">
      <c r="A25" s="17" t="s">
        <v>337</v>
      </c>
      <c r="B25" s="17" t="s">
        <v>391</v>
      </c>
      <c r="C25" s="17" t="s">
        <v>381</v>
      </c>
      <c r="D25" s="17" t="s">
        <v>46</v>
      </c>
      <c r="E25" s="20">
        <v>2000000</v>
      </c>
      <c r="F25" s="3"/>
      <c r="G25" s="3"/>
      <c r="H25" s="20"/>
      <c r="I25" s="23">
        <f t="shared" si="0"/>
        <v>0</v>
      </c>
      <c r="J25" s="34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>
        <f t="shared" si="2"/>
        <v>0</v>
      </c>
      <c r="X25" s="20">
        <f t="shared" si="1"/>
        <v>0</v>
      </c>
      <c r="Y25" s="22" t="e">
        <f t="shared" si="3"/>
        <v>#DIV/0!</v>
      </c>
      <c r="Z25" s="118"/>
    </row>
    <row r="26" spans="1:26" ht="20.100000000000001" customHeight="1">
      <c r="A26" s="17" t="s">
        <v>337</v>
      </c>
      <c r="B26" s="17" t="s">
        <v>391</v>
      </c>
      <c r="C26" s="17" t="s">
        <v>381</v>
      </c>
      <c r="D26" s="17" t="s">
        <v>100</v>
      </c>
      <c r="E26" s="20">
        <v>9000000</v>
      </c>
      <c r="F26" s="3"/>
      <c r="G26" s="3"/>
      <c r="H26" s="20"/>
      <c r="I26" s="23">
        <f t="shared" si="0"/>
        <v>0</v>
      </c>
      <c r="J26" s="33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>
        <f t="shared" si="2"/>
        <v>0</v>
      </c>
      <c r="X26" s="20">
        <f t="shared" si="1"/>
        <v>0</v>
      </c>
      <c r="Y26" s="22" t="e">
        <f t="shared" si="3"/>
        <v>#DIV/0!</v>
      </c>
      <c r="Z26" s="118"/>
    </row>
    <row r="27" spans="1:26" ht="20.100000000000001" customHeight="1">
      <c r="A27" s="17" t="s">
        <v>337</v>
      </c>
      <c r="B27" s="17" t="s">
        <v>391</v>
      </c>
      <c r="C27" s="17" t="s">
        <v>381</v>
      </c>
      <c r="D27" s="24" t="s">
        <v>43</v>
      </c>
      <c r="E27" s="20">
        <v>10000000</v>
      </c>
      <c r="F27" s="3"/>
      <c r="G27" s="3"/>
      <c r="H27" s="20"/>
      <c r="I27" s="23">
        <f t="shared" si="0"/>
        <v>0</v>
      </c>
      <c r="J27" s="33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>
        <f t="shared" si="2"/>
        <v>0</v>
      </c>
      <c r="X27" s="20">
        <f t="shared" si="1"/>
        <v>0</v>
      </c>
      <c r="Y27" s="22" t="e">
        <f t="shared" si="3"/>
        <v>#DIV/0!</v>
      </c>
      <c r="Z27" s="118"/>
    </row>
    <row r="28" spans="1:26" ht="20.100000000000001" customHeight="1">
      <c r="A28" s="17" t="s">
        <v>337</v>
      </c>
      <c r="B28" s="17" t="s">
        <v>391</v>
      </c>
      <c r="C28" s="17" t="s">
        <v>381</v>
      </c>
      <c r="D28" s="17" t="s">
        <v>133</v>
      </c>
      <c r="E28" s="20">
        <v>2500000</v>
      </c>
      <c r="F28" s="3"/>
      <c r="G28" s="3"/>
      <c r="H28" s="20"/>
      <c r="I28" s="23">
        <f t="shared" si="0"/>
        <v>0</v>
      </c>
      <c r="J28" s="33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>
        <f t="shared" si="2"/>
        <v>0</v>
      </c>
      <c r="X28" s="20">
        <f t="shared" si="1"/>
        <v>0</v>
      </c>
      <c r="Y28" s="22" t="e">
        <f t="shared" si="3"/>
        <v>#DIV/0!</v>
      </c>
      <c r="Z28" s="118"/>
    </row>
    <row r="29" spans="1:26" ht="20.100000000000001" customHeight="1">
      <c r="A29" s="17" t="s">
        <v>337</v>
      </c>
      <c r="B29" s="17" t="s">
        <v>391</v>
      </c>
      <c r="C29" s="17" t="s">
        <v>381</v>
      </c>
      <c r="D29" s="17" t="s">
        <v>78</v>
      </c>
      <c r="E29" s="110">
        <v>16000000</v>
      </c>
      <c r="F29" s="3"/>
      <c r="G29" s="3"/>
      <c r="H29" s="20"/>
      <c r="I29" s="23">
        <f t="shared" si="0"/>
        <v>0</v>
      </c>
      <c r="J29" s="36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>
        <f t="shared" si="2"/>
        <v>0</v>
      </c>
      <c r="X29" s="20">
        <f t="shared" si="1"/>
        <v>0</v>
      </c>
      <c r="Y29" s="22" t="e">
        <f t="shared" si="3"/>
        <v>#DIV/0!</v>
      </c>
      <c r="Z29" s="118"/>
    </row>
    <row r="30" spans="1:26" ht="20.100000000000001" customHeight="1">
      <c r="A30" s="17" t="s">
        <v>334</v>
      </c>
      <c r="B30" s="17" t="s">
        <v>392</v>
      </c>
      <c r="C30" s="17" t="s">
        <v>380</v>
      </c>
      <c r="D30" s="17" t="s">
        <v>46</v>
      </c>
      <c r="E30" s="20">
        <v>2860000</v>
      </c>
      <c r="F30" s="3"/>
      <c r="G30" s="3"/>
      <c r="H30" s="20"/>
      <c r="I30" s="23">
        <f t="shared" si="0"/>
        <v>0</v>
      </c>
      <c r="J30" s="34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>
        <f t="shared" si="2"/>
        <v>0</v>
      </c>
      <c r="X30" s="20">
        <f t="shared" si="1"/>
        <v>0</v>
      </c>
      <c r="Y30" s="22" t="e">
        <f t="shared" si="3"/>
        <v>#DIV/0!</v>
      </c>
      <c r="Z30" s="115"/>
    </row>
    <row r="31" spans="1:26" ht="20.100000000000001" customHeight="1">
      <c r="A31" s="17" t="s">
        <v>334</v>
      </c>
      <c r="B31" s="17" t="s">
        <v>392</v>
      </c>
      <c r="C31" s="17" t="s">
        <v>385</v>
      </c>
      <c r="D31" s="17" t="s">
        <v>100</v>
      </c>
      <c r="E31" s="20">
        <v>7900000</v>
      </c>
      <c r="F31" s="3"/>
      <c r="G31" s="3"/>
      <c r="H31" s="20"/>
      <c r="I31" s="23">
        <f t="shared" si="0"/>
        <v>0</v>
      </c>
      <c r="J31" s="37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>
        <f t="shared" si="2"/>
        <v>0</v>
      </c>
      <c r="X31" s="20">
        <f t="shared" si="1"/>
        <v>0</v>
      </c>
      <c r="Y31" s="22" t="e">
        <f t="shared" si="3"/>
        <v>#DIV/0!</v>
      </c>
      <c r="Z31" s="115"/>
    </row>
    <row r="32" spans="1:26" ht="20.100000000000001" customHeight="1">
      <c r="A32" s="17" t="s">
        <v>334</v>
      </c>
      <c r="B32" s="17" t="s">
        <v>392</v>
      </c>
      <c r="C32" s="17" t="s">
        <v>380</v>
      </c>
      <c r="D32" s="17" t="s">
        <v>43</v>
      </c>
      <c r="E32" s="20">
        <v>24000000</v>
      </c>
      <c r="F32" s="3"/>
      <c r="G32" s="3"/>
      <c r="H32" s="20"/>
      <c r="I32" s="23">
        <f t="shared" si="0"/>
        <v>0</v>
      </c>
      <c r="J32" s="33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>
        <f t="shared" si="2"/>
        <v>0</v>
      </c>
      <c r="X32" s="20">
        <f t="shared" si="1"/>
        <v>0</v>
      </c>
      <c r="Y32" s="22" t="e">
        <f t="shared" si="3"/>
        <v>#DIV/0!</v>
      </c>
      <c r="Z32" s="115"/>
    </row>
    <row r="33" spans="1:26" ht="20.100000000000001" customHeight="1">
      <c r="A33" s="17" t="s">
        <v>334</v>
      </c>
      <c r="B33" s="17" t="s">
        <v>392</v>
      </c>
      <c r="C33" s="17" t="s">
        <v>385</v>
      </c>
      <c r="D33" s="17" t="s">
        <v>132</v>
      </c>
      <c r="E33" s="20">
        <v>1000000</v>
      </c>
      <c r="F33" s="3"/>
      <c r="G33" s="3"/>
      <c r="H33" s="20"/>
      <c r="I33" s="23">
        <f t="shared" si="0"/>
        <v>0</v>
      </c>
      <c r="J33" s="34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>
        <f t="shared" si="2"/>
        <v>0</v>
      </c>
      <c r="X33" s="20">
        <f t="shared" si="1"/>
        <v>0</v>
      </c>
      <c r="Y33" s="22" t="e">
        <f t="shared" si="3"/>
        <v>#DIV/0!</v>
      </c>
      <c r="Z33" s="115"/>
    </row>
    <row r="34" spans="1:26" ht="20.100000000000001" customHeight="1">
      <c r="A34" s="17" t="s">
        <v>334</v>
      </c>
      <c r="B34" s="17" t="s">
        <v>392</v>
      </c>
      <c r="C34" s="17" t="s">
        <v>385</v>
      </c>
      <c r="D34" s="17" t="s">
        <v>106</v>
      </c>
      <c r="E34" s="20">
        <v>2000000</v>
      </c>
      <c r="F34" s="3"/>
      <c r="G34" s="3"/>
      <c r="H34" s="20"/>
      <c r="I34" s="23">
        <f t="shared" si="0"/>
        <v>0</v>
      </c>
      <c r="J34" s="34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>
        <f t="shared" si="2"/>
        <v>0</v>
      </c>
      <c r="X34" s="20">
        <f t="shared" si="1"/>
        <v>0</v>
      </c>
      <c r="Y34" s="22" t="e">
        <f t="shared" si="3"/>
        <v>#DIV/0!</v>
      </c>
      <c r="Z34" s="115"/>
    </row>
    <row r="35" spans="1:26" ht="20.100000000000001" customHeight="1">
      <c r="A35" s="17" t="s">
        <v>334</v>
      </c>
      <c r="B35" s="17" t="s">
        <v>393</v>
      </c>
      <c r="C35" s="17" t="s">
        <v>382</v>
      </c>
      <c r="D35" s="17" t="s">
        <v>100</v>
      </c>
      <c r="E35" s="20">
        <v>9300000</v>
      </c>
      <c r="F35" s="3"/>
      <c r="G35" s="3"/>
      <c r="H35" s="20"/>
      <c r="I35" s="23">
        <f t="shared" si="0"/>
        <v>0</v>
      </c>
      <c r="J35" s="33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>
        <f t="shared" si="2"/>
        <v>0</v>
      </c>
      <c r="X35" s="20">
        <f t="shared" si="1"/>
        <v>0</v>
      </c>
      <c r="Y35" s="22" t="e">
        <f t="shared" si="3"/>
        <v>#DIV/0!</v>
      </c>
      <c r="Z35" s="115"/>
    </row>
    <row r="36" spans="1:26" ht="20.100000000000001" customHeight="1">
      <c r="A36" s="17" t="s">
        <v>334</v>
      </c>
      <c r="B36" s="17" t="s">
        <v>393</v>
      </c>
      <c r="C36" s="17" t="s">
        <v>382</v>
      </c>
      <c r="D36" s="17" t="s">
        <v>43</v>
      </c>
      <c r="E36" s="20">
        <v>11800000</v>
      </c>
      <c r="F36" s="3"/>
      <c r="G36" s="3"/>
      <c r="H36" s="20"/>
      <c r="I36" s="23">
        <f t="shared" si="0"/>
        <v>0</v>
      </c>
      <c r="J36" s="33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>
        <f t="shared" si="2"/>
        <v>0</v>
      </c>
      <c r="X36" s="20">
        <f t="shared" si="1"/>
        <v>0</v>
      </c>
      <c r="Y36" s="22" t="e">
        <f t="shared" si="3"/>
        <v>#DIV/0!</v>
      </c>
      <c r="Z36" s="115"/>
    </row>
    <row r="37" spans="1:26" ht="20.100000000000001" customHeight="1">
      <c r="A37" s="17" t="s">
        <v>334</v>
      </c>
      <c r="B37" s="17" t="s">
        <v>393</v>
      </c>
      <c r="C37" s="17" t="s">
        <v>382</v>
      </c>
      <c r="D37" s="17" t="s">
        <v>132</v>
      </c>
      <c r="E37" s="20">
        <v>6320000</v>
      </c>
      <c r="F37" s="3"/>
      <c r="G37" s="3"/>
      <c r="H37" s="20"/>
      <c r="I37" s="23">
        <f t="shared" si="0"/>
        <v>0</v>
      </c>
      <c r="J37" s="33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>
        <f t="shared" si="2"/>
        <v>0</v>
      </c>
      <c r="X37" s="20">
        <f t="shared" si="1"/>
        <v>0</v>
      </c>
      <c r="Y37" s="22" t="e">
        <f t="shared" si="3"/>
        <v>#DIV/0!</v>
      </c>
      <c r="Z37" s="115"/>
    </row>
    <row r="38" spans="1:26" ht="20.100000000000001" customHeight="1">
      <c r="A38" s="17" t="s">
        <v>334</v>
      </c>
      <c r="B38" s="17" t="s">
        <v>393</v>
      </c>
      <c r="C38" s="17" t="s">
        <v>382</v>
      </c>
      <c r="D38" s="17" t="s">
        <v>133</v>
      </c>
      <c r="E38" s="20">
        <v>1800000</v>
      </c>
      <c r="F38" s="3"/>
      <c r="G38" s="3"/>
      <c r="H38" s="20"/>
      <c r="I38" s="23">
        <f t="shared" si="0"/>
        <v>0</v>
      </c>
      <c r="J38" s="34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>
        <f t="shared" si="2"/>
        <v>0</v>
      </c>
      <c r="X38" s="20">
        <f t="shared" si="1"/>
        <v>0</v>
      </c>
      <c r="Y38" s="22" t="e">
        <f t="shared" si="3"/>
        <v>#DIV/0!</v>
      </c>
      <c r="Z38" s="115"/>
    </row>
    <row r="39" spans="1:26" ht="20.100000000000001" customHeight="1">
      <c r="A39" s="17" t="s">
        <v>334</v>
      </c>
      <c r="B39" s="17" t="s">
        <v>393</v>
      </c>
      <c r="C39" s="17" t="s">
        <v>382</v>
      </c>
      <c r="D39" s="17" t="s">
        <v>106</v>
      </c>
      <c r="E39" s="20">
        <v>780000</v>
      </c>
      <c r="F39" s="3"/>
      <c r="G39" s="3"/>
      <c r="H39" s="20"/>
      <c r="I39" s="23">
        <f t="shared" si="0"/>
        <v>0</v>
      </c>
      <c r="J39" s="34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>
        <f t="shared" si="2"/>
        <v>0</v>
      </c>
      <c r="X39" s="20">
        <f t="shared" si="1"/>
        <v>0</v>
      </c>
      <c r="Y39" s="22" t="e">
        <f t="shared" si="3"/>
        <v>#DIV/0!</v>
      </c>
      <c r="Z39" s="115"/>
    </row>
    <row r="40" spans="1:26" ht="20.100000000000001" customHeight="1">
      <c r="A40" s="17" t="s">
        <v>338</v>
      </c>
      <c r="B40" s="17" t="s">
        <v>394</v>
      </c>
      <c r="C40" s="17" t="s">
        <v>383</v>
      </c>
      <c r="D40" s="17" t="s">
        <v>46</v>
      </c>
      <c r="E40" s="20">
        <v>6000000</v>
      </c>
      <c r="F40" s="3"/>
      <c r="G40" s="3"/>
      <c r="H40" s="20"/>
      <c r="I40" s="23">
        <f t="shared" si="0"/>
        <v>0</v>
      </c>
      <c r="J40" s="34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>
        <f t="shared" si="2"/>
        <v>0</v>
      </c>
      <c r="X40" s="20">
        <f t="shared" si="1"/>
        <v>0</v>
      </c>
      <c r="Y40" s="22" t="e">
        <f t="shared" si="3"/>
        <v>#DIV/0!</v>
      </c>
      <c r="Z40" s="115"/>
    </row>
    <row r="41" spans="1:26" ht="20.100000000000001" customHeight="1">
      <c r="A41" s="17" t="s">
        <v>338</v>
      </c>
      <c r="B41" s="17" t="s">
        <v>394</v>
      </c>
      <c r="C41" s="17" t="s">
        <v>383</v>
      </c>
      <c r="D41" s="17" t="s">
        <v>100</v>
      </c>
      <c r="E41" s="20">
        <v>30000000</v>
      </c>
      <c r="F41" s="3"/>
      <c r="G41" s="3"/>
      <c r="H41" s="20"/>
      <c r="I41" s="23">
        <f t="shared" si="0"/>
        <v>0</v>
      </c>
      <c r="J41" s="38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>
        <f t="shared" si="2"/>
        <v>0</v>
      </c>
      <c r="X41" s="20">
        <f t="shared" si="1"/>
        <v>0</v>
      </c>
      <c r="Y41" s="22" t="e">
        <f t="shared" si="3"/>
        <v>#DIV/0!</v>
      </c>
      <c r="Z41" s="115"/>
    </row>
    <row r="42" spans="1:26" ht="20.100000000000001" customHeight="1">
      <c r="A42" s="17" t="s">
        <v>338</v>
      </c>
      <c r="B42" s="17" t="s">
        <v>394</v>
      </c>
      <c r="C42" s="17" t="s">
        <v>383</v>
      </c>
      <c r="D42" s="17" t="s">
        <v>132</v>
      </c>
      <c r="E42" s="20">
        <v>2400000</v>
      </c>
      <c r="F42" s="3"/>
      <c r="G42" s="3"/>
      <c r="H42" s="20"/>
      <c r="I42" s="23">
        <f t="shared" si="0"/>
        <v>0</v>
      </c>
      <c r="J42" s="33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>
        <f t="shared" si="2"/>
        <v>0</v>
      </c>
      <c r="X42" s="20">
        <f t="shared" si="1"/>
        <v>0</v>
      </c>
      <c r="Y42" s="22" t="e">
        <f t="shared" si="3"/>
        <v>#DIV/0!</v>
      </c>
      <c r="Z42" s="115"/>
    </row>
    <row r="43" spans="1:26" ht="20.100000000000001" customHeight="1">
      <c r="A43" s="17" t="s">
        <v>338</v>
      </c>
      <c r="B43" s="17" t="s">
        <v>394</v>
      </c>
      <c r="C43" s="17" t="s">
        <v>383</v>
      </c>
      <c r="D43" s="17" t="s">
        <v>133</v>
      </c>
      <c r="E43" s="20">
        <v>1200000</v>
      </c>
      <c r="F43" s="3"/>
      <c r="G43" s="3"/>
      <c r="H43" s="20"/>
      <c r="I43" s="23">
        <f t="shared" si="0"/>
        <v>0</v>
      </c>
      <c r="J43" s="33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>
        <f t="shared" si="2"/>
        <v>0</v>
      </c>
      <c r="X43" s="20">
        <f t="shared" si="1"/>
        <v>0</v>
      </c>
      <c r="Y43" s="22" t="e">
        <f t="shared" si="3"/>
        <v>#DIV/0!</v>
      </c>
      <c r="Z43" s="115"/>
    </row>
    <row r="44" spans="1:26" ht="20.100000000000001" customHeight="1">
      <c r="A44" s="17" t="s">
        <v>338</v>
      </c>
      <c r="B44" s="17" t="s">
        <v>394</v>
      </c>
      <c r="C44" s="17" t="s">
        <v>383</v>
      </c>
      <c r="D44" s="17" t="s">
        <v>45</v>
      </c>
      <c r="E44" s="110">
        <v>1000000</v>
      </c>
      <c r="F44" s="3"/>
      <c r="G44" s="3"/>
      <c r="H44" s="20"/>
      <c r="I44" s="23">
        <f t="shared" si="0"/>
        <v>0</v>
      </c>
      <c r="J44" s="39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>
        <f t="shared" si="2"/>
        <v>0</v>
      </c>
      <c r="X44" s="20">
        <f t="shared" si="1"/>
        <v>0</v>
      </c>
      <c r="Y44" s="22" t="e">
        <f t="shared" si="3"/>
        <v>#DIV/0!</v>
      </c>
      <c r="Z44" s="115"/>
    </row>
    <row r="45" spans="1:26" ht="20.100000000000001" customHeight="1">
      <c r="A45" s="17" t="s">
        <v>338</v>
      </c>
      <c r="B45" s="17" t="s">
        <v>395</v>
      </c>
      <c r="C45" s="17" t="s">
        <v>384</v>
      </c>
      <c r="D45" s="17" t="s">
        <v>46</v>
      </c>
      <c r="E45" s="20">
        <v>1000000</v>
      </c>
      <c r="F45" s="3"/>
      <c r="G45" s="3"/>
      <c r="H45" s="20"/>
      <c r="I45" s="23">
        <f t="shared" si="0"/>
        <v>0</v>
      </c>
      <c r="J45" s="34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>
        <f t="shared" si="2"/>
        <v>0</v>
      </c>
      <c r="X45" s="20">
        <f t="shared" si="1"/>
        <v>0</v>
      </c>
      <c r="Y45" s="22" t="e">
        <f t="shared" si="3"/>
        <v>#DIV/0!</v>
      </c>
      <c r="Z45" s="115"/>
    </row>
    <row r="46" spans="1:26" ht="20.100000000000001" customHeight="1">
      <c r="A46" s="17" t="s">
        <v>338</v>
      </c>
      <c r="B46" s="17" t="s">
        <v>395</v>
      </c>
      <c r="C46" s="17" t="s">
        <v>384</v>
      </c>
      <c r="D46" s="17" t="s">
        <v>100</v>
      </c>
      <c r="E46" s="20">
        <v>10000000</v>
      </c>
      <c r="F46" s="3"/>
      <c r="G46" s="3"/>
      <c r="H46" s="20"/>
      <c r="I46" s="23">
        <f t="shared" si="0"/>
        <v>0</v>
      </c>
      <c r="J46" s="34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119"/>
      <c r="W46" s="20">
        <f t="shared" si="2"/>
        <v>0</v>
      </c>
      <c r="X46" s="20">
        <f t="shared" si="1"/>
        <v>0</v>
      </c>
      <c r="Y46" s="22" t="e">
        <f t="shared" si="3"/>
        <v>#DIV/0!</v>
      </c>
      <c r="Z46" s="115"/>
    </row>
    <row r="47" spans="1:26" ht="20.100000000000001" customHeight="1">
      <c r="A47" s="17" t="s">
        <v>338</v>
      </c>
      <c r="B47" s="17" t="s">
        <v>395</v>
      </c>
      <c r="C47" s="17" t="s">
        <v>384</v>
      </c>
      <c r="D47" s="17" t="s">
        <v>43</v>
      </c>
      <c r="E47" s="20">
        <v>22040000</v>
      </c>
      <c r="F47" s="3"/>
      <c r="G47" s="3"/>
      <c r="H47" s="20"/>
      <c r="I47" s="23">
        <f t="shared" si="0"/>
        <v>0</v>
      </c>
      <c r="J47" s="34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119"/>
      <c r="W47" s="20">
        <f t="shared" si="2"/>
        <v>0</v>
      </c>
      <c r="X47" s="20">
        <f t="shared" si="1"/>
        <v>0</v>
      </c>
      <c r="Y47" s="22" t="e">
        <f t="shared" si="3"/>
        <v>#DIV/0!</v>
      </c>
      <c r="Z47" s="115"/>
    </row>
    <row r="48" spans="1:26" ht="20.100000000000001" customHeight="1">
      <c r="A48" s="17" t="s">
        <v>338</v>
      </c>
      <c r="B48" s="17" t="s">
        <v>395</v>
      </c>
      <c r="C48" s="17" t="s">
        <v>384</v>
      </c>
      <c r="D48" s="17" t="s">
        <v>106</v>
      </c>
      <c r="E48" s="20">
        <v>660000</v>
      </c>
      <c r="F48" s="3"/>
      <c r="G48" s="3"/>
      <c r="H48" s="20"/>
      <c r="I48" s="23">
        <f t="shared" si="0"/>
        <v>0</v>
      </c>
      <c r="J48" s="34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119"/>
      <c r="W48" s="20">
        <f t="shared" si="2"/>
        <v>0</v>
      </c>
      <c r="X48" s="20">
        <f t="shared" si="1"/>
        <v>0</v>
      </c>
      <c r="Y48" s="22" t="e">
        <f t="shared" si="3"/>
        <v>#DIV/0!</v>
      </c>
      <c r="Z48" s="115"/>
    </row>
    <row r="49" spans="1:26" ht="20.100000000000001" customHeight="1">
      <c r="A49" s="218" t="s">
        <v>59</v>
      </c>
      <c r="B49" s="218"/>
      <c r="C49" s="218"/>
      <c r="D49" s="218"/>
      <c r="E49" s="120">
        <f>SUBTOTAL(9,E3:E48)</f>
        <v>870000000</v>
      </c>
      <c r="F49" s="120">
        <f>SUBTOTAL(9,F3:F48)</f>
        <v>0</v>
      </c>
      <c r="G49" s="120">
        <f>SUBTOTAL(9,G3:G48)</f>
        <v>0</v>
      </c>
      <c r="H49" s="120">
        <f>SUBTOTAL(9,H3:H48)</f>
        <v>0</v>
      </c>
      <c r="I49" s="120">
        <f>SUBTOTAL(9,I3:I48)</f>
        <v>0</v>
      </c>
      <c r="J49" s="121"/>
      <c r="K49" s="122">
        <f t="shared" ref="K49:W49" si="4">SUBTOTAL(9,K3:K48)</f>
        <v>0</v>
      </c>
      <c r="L49" s="122">
        <f t="shared" si="4"/>
        <v>0</v>
      </c>
      <c r="M49" s="122">
        <f t="shared" si="4"/>
        <v>0</v>
      </c>
      <c r="N49" s="122">
        <f t="shared" si="4"/>
        <v>0</v>
      </c>
      <c r="O49" s="122">
        <f t="shared" si="4"/>
        <v>0</v>
      </c>
      <c r="P49" s="122">
        <f t="shared" si="4"/>
        <v>0</v>
      </c>
      <c r="Q49" s="122">
        <f t="shared" si="4"/>
        <v>0</v>
      </c>
      <c r="R49" s="122">
        <f t="shared" si="4"/>
        <v>0</v>
      </c>
      <c r="S49" s="122">
        <f t="shared" si="4"/>
        <v>0</v>
      </c>
      <c r="T49" s="122">
        <f t="shared" si="4"/>
        <v>0</v>
      </c>
      <c r="U49" s="122">
        <f t="shared" si="4"/>
        <v>0</v>
      </c>
      <c r="V49" s="122">
        <f t="shared" si="4"/>
        <v>0</v>
      </c>
      <c r="W49" s="122">
        <f t="shared" si="4"/>
        <v>0</v>
      </c>
      <c r="X49" s="122">
        <f>I49-W49</f>
        <v>0</v>
      </c>
      <c r="Y49" s="123" t="e">
        <f t="shared" si="3"/>
        <v>#DIV/0!</v>
      </c>
      <c r="Z49" s="124"/>
    </row>
    <row r="50" spans="1:26">
      <c r="B50" s="4"/>
      <c r="C50" s="4"/>
      <c r="D50" s="1"/>
      <c r="E50" s="72"/>
      <c r="W50" s="9"/>
    </row>
    <row r="51" spans="1:26">
      <c r="B51" s="4"/>
      <c r="C51" s="4"/>
      <c r="D51" s="1"/>
      <c r="E51" s="9"/>
      <c r="I51" s="9"/>
      <c r="U51" s="9"/>
      <c r="V51" s="9"/>
      <c r="W51" s="9"/>
    </row>
    <row r="52" spans="1:26">
      <c r="B52" s="1" t="s">
        <v>293</v>
      </c>
      <c r="D52" s="109">
        <v>40800000</v>
      </c>
      <c r="E52" s="9"/>
    </row>
    <row r="53" spans="1:26">
      <c r="B53" s="1" t="s">
        <v>294</v>
      </c>
      <c r="D53" s="109">
        <v>5760000</v>
      </c>
      <c r="I53" s="9"/>
    </row>
    <row r="54" spans="1:26">
      <c r="B54" s="1" t="s">
        <v>295</v>
      </c>
      <c r="D54" s="109">
        <v>2000000</v>
      </c>
    </row>
    <row r="55" spans="1:26">
      <c r="B55" s="1" t="s">
        <v>296</v>
      </c>
      <c r="D55" s="109">
        <v>1680000</v>
      </c>
    </row>
    <row r="56" spans="1:26">
      <c r="B56" s="1" t="s">
        <v>297</v>
      </c>
      <c r="D56" s="109">
        <v>1000000</v>
      </c>
    </row>
    <row r="57" spans="1:26">
      <c r="B57" s="1" t="s">
        <v>298</v>
      </c>
      <c r="D57" s="109">
        <v>33600000</v>
      </c>
    </row>
    <row r="58" spans="1:26">
      <c r="B58" s="1" t="s">
        <v>299</v>
      </c>
      <c r="D58" s="109">
        <v>3840000</v>
      </c>
    </row>
    <row r="59" spans="1:26">
      <c r="B59" s="1" t="s">
        <v>300</v>
      </c>
      <c r="D59" s="109">
        <v>2000000</v>
      </c>
    </row>
    <row r="60" spans="1:26">
      <c r="B60" s="1" t="s">
        <v>301</v>
      </c>
      <c r="D60" s="109">
        <v>1680000</v>
      </c>
    </row>
    <row r="61" spans="1:26">
      <c r="B61" s="1" t="s">
        <v>302</v>
      </c>
      <c r="D61" s="109">
        <v>7640000</v>
      </c>
    </row>
  </sheetData>
  <autoFilter ref="B1:Z48" xr:uid="{00000000-0009-0000-0000-000003000000}"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16">
    <mergeCell ref="A1:A2"/>
    <mergeCell ref="A49:D49"/>
    <mergeCell ref="G1:G2"/>
    <mergeCell ref="H1:H2"/>
    <mergeCell ref="Z1:Z2"/>
    <mergeCell ref="I1:I2"/>
    <mergeCell ref="J1:J2"/>
    <mergeCell ref="K1:V1"/>
    <mergeCell ref="W1:W2"/>
    <mergeCell ref="X1:X2"/>
    <mergeCell ref="Y1:Y2"/>
    <mergeCell ref="E1:E2"/>
    <mergeCell ref="B1:B2"/>
    <mergeCell ref="D1:D2"/>
    <mergeCell ref="F1:F2"/>
    <mergeCell ref="C1:C2"/>
  </mergeCells>
  <phoneticPr fontId="20" type="noConversion"/>
  <conditionalFormatting sqref="X1:X2">
    <cfRule type="expression" dxfId="8" priority="2">
      <formula>"&lt;0"</formula>
    </cfRule>
  </conditionalFormatting>
  <conditionalFormatting sqref="X3:X49">
    <cfRule type="cellIs" dxfId="7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1"/>
  <sheetViews>
    <sheetView zoomScaleNormal="100" workbookViewId="0">
      <pane xSplit="4" topLeftCell="K1" activePane="topRight" state="frozen"/>
      <selection activeCell="E26" sqref="E26"/>
      <selection pane="topRight" activeCell="E26" sqref="E26"/>
    </sheetView>
  </sheetViews>
  <sheetFormatPr defaultRowHeight="16.5"/>
  <cols>
    <col min="1" max="1" width="4.75" bestFit="1" customWidth="1"/>
    <col min="2" max="2" width="37.125" customWidth="1"/>
    <col min="3" max="3" width="6.375" bestFit="1" customWidth="1"/>
    <col min="4" max="4" width="9.625" customWidth="1"/>
    <col min="5" max="7" width="13" customWidth="1"/>
    <col min="8" max="19" width="12.625" style="5" customWidth="1"/>
    <col min="20" max="21" width="15.625" style="5" bestFit="1" customWidth="1"/>
    <col min="22" max="22" width="9.125" bestFit="1" customWidth="1"/>
  </cols>
  <sheetData>
    <row r="1" spans="1:23" s="25" customFormat="1" ht="24.95" customHeight="1">
      <c r="A1" s="201" t="s">
        <v>396</v>
      </c>
      <c r="B1" s="201" t="s">
        <v>399</v>
      </c>
      <c r="C1" s="201" t="s">
        <v>378</v>
      </c>
      <c r="D1" s="201" t="s">
        <v>0</v>
      </c>
      <c r="E1" s="199" t="s">
        <v>53</v>
      </c>
      <c r="F1" s="199" t="s">
        <v>87</v>
      </c>
      <c r="G1" s="199" t="s">
        <v>88</v>
      </c>
      <c r="H1" s="202" t="s">
        <v>14</v>
      </c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199" t="s">
        <v>54</v>
      </c>
      <c r="U1" s="199" t="s">
        <v>55</v>
      </c>
      <c r="V1" s="219" t="s">
        <v>52</v>
      </c>
      <c r="W1" s="215" t="s">
        <v>13</v>
      </c>
    </row>
    <row r="2" spans="1:23" s="25" customFormat="1" ht="24.95" customHeight="1">
      <c r="A2" s="201"/>
      <c r="B2" s="201"/>
      <c r="C2" s="201"/>
      <c r="D2" s="201"/>
      <c r="E2" s="199"/>
      <c r="F2" s="199"/>
      <c r="G2" s="199"/>
      <c r="H2" s="104" t="s">
        <v>1</v>
      </c>
      <c r="I2" s="104" t="s">
        <v>2</v>
      </c>
      <c r="J2" s="104" t="s">
        <v>3</v>
      </c>
      <c r="K2" s="104" t="s">
        <v>4</v>
      </c>
      <c r="L2" s="104" t="s">
        <v>5</v>
      </c>
      <c r="M2" s="104" t="s">
        <v>6</v>
      </c>
      <c r="N2" s="104" t="s">
        <v>7</v>
      </c>
      <c r="O2" s="104" t="s">
        <v>8</v>
      </c>
      <c r="P2" s="104" t="s">
        <v>9</v>
      </c>
      <c r="Q2" s="104" t="s">
        <v>10</v>
      </c>
      <c r="R2" s="104" t="s">
        <v>11</v>
      </c>
      <c r="S2" s="104" t="s">
        <v>12</v>
      </c>
      <c r="T2" s="202"/>
      <c r="U2" s="202"/>
      <c r="V2" s="215"/>
      <c r="W2" s="215"/>
    </row>
    <row r="3" spans="1:23" s="25" customFormat="1" ht="24.95" customHeight="1">
      <c r="A3" s="74" t="s">
        <v>307</v>
      </c>
      <c r="B3" s="74" t="s">
        <v>403</v>
      </c>
      <c r="C3" s="74" t="s">
        <v>401</v>
      </c>
      <c r="D3" s="17" t="s">
        <v>100</v>
      </c>
      <c r="E3" s="21">
        <v>109145000</v>
      </c>
      <c r="F3" s="48">
        <v>0</v>
      </c>
      <c r="G3" s="21">
        <f t="shared" ref="G3:G7" si="0">E3+F3</f>
        <v>109145000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>
        <f t="shared" ref="T3:T7" si="1">SUM(H3:S3)</f>
        <v>0</v>
      </c>
      <c r="U3" s="46">
        <f>G3-T3</f>
        <v>109145000</v>
      </c>
      <c r="V3" s="47">
        <f>T3/G3</f>
        <v>0</v>
      </c>
      <c r="W3" s="126"/>
    </row>
    <row r="4" spans="1:23" s="25" customFormat="1" ht="24.95" customHeight="1">
      <c r="A4" s="74" t="s">
        <v>166</v>
      </c>
      <c r="B4" s="74" t="s">
        <v>404</v>
      </c>
      <c r="C4" s="74" t="s">
        <v>402</v>
      </c>
      <c r="D4" s="17" t="s">
        <v>46</v>
      </c>
      <c r="E4" s="21">
        <v>163855000</v>
      </c>
      <c r="F4" s="73">
        <v>0</v>
      </c>
      <c r="G4" s="21">
        <f t="shared" si="0"/>
        <v>163855000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>
        <f t="shared" si="1"/>
        <v>0</v>
      </c>
      <c r="U4" s="46">
        <f t="shared" ref="U4:U7" si="2">G4-T4</f>
        <v>163855000</v>
      </c>
      <c r="V4" s="47">
        <f t="shared" ref="V4:V7" si="3">T4/G4</f>
        <v>0</v>
      </c>
      <c r="W4" s="126"/>
    </row>
    <row r="5" spans="1:23" s="25" customFormat="1" ht="24.95" customHeight="1">
      <c r="A5" s="74" t="s">
        <v>166</v>
      </c>
      <c r="B5" s="74" t="s">
        <v>405</v>
      </c>
      <c r="C5" s="74" t="s">
        <v>402</v>
      </c>
      <c r="D5" s="17" t="s">
        <v>44</v>
      </c>
      <c r="E5" s="21">
        <v>116880000</v>
      </c>
      <c r="F5" s="48">
        <v>0</v>
      </c>
      <c r="G5" s="21">
        <f t="shared" si="0"/>
        <v>116880000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>
        <f t="shared" si="1"/>
        <v>0</v>
      </c>
      <c r="U5" s="46">
        <f t="shared" si="2"/>
        <v>116880000</v>
      </c>
      <c r="V5" s="47">
        <f t="shared" si="3"/>
        <v>0</v>
      </c>
      <c r="W5" s="126"/>
    </row>
    <row r="6" spans="1:23" s="25" customFormat="1" ht="24.95" customHeight="1">
      <c r="A6" s="74" t="s">
        <v>166</v>
      </c>
      <c r="B6" s="74" t="s">
        <v>406</v>
      </c>
      <c r="C6" s="74" t="s">
        <v>400</v>
      </c>
      <c r="D6" s="17" t="s">
        <v>45</v>
      </c>
      <c r="E6" s="21">
        <v>6540000</v>
      </c>
      <c r="F6" s="48">
        <v>0</v>
      </c>
      <c r="G6" s="21">
        <f t="shared" ref="G6" si="4">E6+F6</f>
        <v>6540000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>
        <f t="shared" si="1"/>
        <v>0</v>
      </c>
      <c r="U6" s="46">
        <f t="shared" ref="U6" si="5">G6-T6</f>
        <v>6540000</v>
      </c>
      <c r="V6" s="47">
        <f t="shared" ref="V6" si="6">T6/G6</f>
        <v>0</v>
      </c>
      <c r="W6" s="126"/>
    </row>
    <row r="7" spans="1:23" s="25" customFormat="1" ht="24.95" customHeight="1">
      <c r="A7" s="74" t="s">
        <v>166</v>
      </c>
      <c r="B7" s="74" t="s">
        <v>407</v>
      </c>
      <c r="C7" s="74" t="s">
        <v>400</v>
      </c>
      <c r="D7" s="17" t="s">
        <v>105</v>
      </c>
      <c r="E7" s="21">
        <v>4000000</v>
      </c>
      <c r="F7" s="48">
        <v>0</v>
      </c>
      <c r="G7" s="21">
        <f t="shared" si="0"/>
        <v>4000000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>
        <f t="shared" si="1"/>
        <v>0</v>
      </c>
      <c r="U7" s="46">
        <f t="shared" si="2"/>
        <v>4000000</v>
      </c>
      <c r="V7" s="47">
        <f t="shared" si="3"/>
        <v>0</v>
      </c>
      <c r="W7" s="126"/>
    </row>
    <row r="8" spans="1:23" s="25" customFormat="1" ht="20.25" customHeight="1">
      <c r="A8" s="221" t="s">
        <v>26</v>
      </c>
      <c r="B8" s="221"/>
      <c r="C8" s="221"/>
      <c r="D8" s="221"/>
      <c r="E8" s="127">
        <f t="shared" ref="E8:U8" si="7">SUBTOTAL(9,E3:E7)</f>
        <v>400420000</v>
      </c>
      <c r="F8" s="127">
        <f t="shared" si="7"/>
        <v>0</v>
      </c>
      <c r="G8" s="127">
        <f t="shared" si="7"/>
        <v>400420000</v>
      </c>
      <c r="H8" s="127">
        <f t="shared" si="7"/>
        <v>0</v>
      </c>
      <c r="I8" s="127">
        <f t="shared" si="7"/>
        <v>0</v>
      </c>
      <c r="J8" s="127">
        <f t="shared" si="7"/>
        <v>0</v>
      </c>
      <c r="K8" s="127">
        <f t="shared" si="7"/>
        <v>0</v>
      </c>
      <c r="L8" s="127">
        <f t="shared" si="7"/>
        <v>0</v>
      </c>
      <c r="M8" s="127">
        <f t="shared" si="7"/>
        <v>0</v>
      </c>
      <c r="N8" s="127">
        <f t="shared" si="7"/>
        <v>0</v>
      </c>
      <c r="O8" s="127">
        <f t="shared" si="7"/>
        <v>0</v>
      </c>
      <c r="P8" s="127">
        <f t="shared" si="7"/>
        <v>0</v>
      </c>
      <c r="Q8" s="127">
        <f t="shared" si="7"/>
        <v>0</v>
      </c>
      <c r="R8" s="127">
        <f t="shared" si="7"/>
        <v>0</v>
      </c>
      <c r="S8" s="127">
        <f t="shared" si="7"/>
        <v>0</v>
      </c>
      <c r="T8" s="127">
        <f t="shared" si="7"/>
        <v>0</v>
      </c>
      <c r="U8" s="127">
        <f t="shared" si="7"/>
        <v>400420000</v>
      </c>
      <c r="V8" s="128">
        <f t="shared" ref="V8" si="8">T8/G8</f>
        <v>0</v>
      </c>
      <c r="W8" s="129"/>
    </row>
    <row r="10" spans="1:23">
      <c r="E10" s="71"/>
    </row>
    <row r="11" spans="1:23">
      <c r="E11" s="71"/>
    </row>
  </sheetData>
  <mergeCells count="13">
    <mergeCell ref="A8:D8"/>
    <mergeCell ref="T1:T2"/>
    <mergeCell ref="U1:U2"/>
    <mergeCell ref="V1:V2"/>
    <mergeCell ref="W1:W2"/>
    <mergeCell ref="A1:A2"/>
    <mergeCell ref="D1:D2"/>
    <mergeCell ref="E1:E2"/>
    <mergeCell ref="H1:S1"/>
    <mergeCell ref="F1:F2"/>
    <mergeCell ref="G1:G2"/>
    <mergeCell ref="C1:C2"/>
    <mergeCell ref="B1:B2"/>
  </mergeCells>
  <phoneticPr fontId="20" type="noConversion"/>
  <conditionalFormatting sqref="U3:U8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18"/>
  <sheetViews>
    <sheetView zoomScaleNormal="100" workbookViewId="0">
      <pane xSplit="4" topLeftCell="E1" activePane="topRight" state="frozen"/>
      <selection activeCell="E26" sqref="E26"/>
      <selection pane="topRight" activeCell="E26" sqref="E26"/>
    </sheetView>
  </sheetViews>
  <sheetFormatPr defaultRowHeight="16.5"/>
  <cols>
    <col min="2" max="2" width="43" bestFit="1" customWidth="1"/>
    <col min="3" max="3" width="7.125" bestFit="1" customWidth="1"/>
    <col min="4" max="4" width="13" style="1" bestFit="1" customWidth="1"/>
    <col min="5" max="5" width="16.75" style="5" customWidth="1"/>
    <col min="6" max="6" width="15" style="5" customWidth="1"/>
    <col min="7" max="7" width="17.5" style="5" bestFit="1" customWidth="1"/>
    <col min="8" max="8" width="17.875" style="5" bestFit="1" customWidth="1"/>
    <col min="9" max="10" width="12.5" style="5" bestFit="1" customWidth="1"/>
    <col min="11" max="12" width="13.75" style="5" bestFit="1" customWidth="1"/>
    <col min="13" max="13" width="13.125" style="5" bestFit="1" customWidth="1"/>
    <col min="14" max="14" width="12.5" style="5" bestFit="1" customWidth="1"/>
    <col min="15" max="15" width="13.25" style="5" customWidth="1"/>
    <col min="16" max="16" width="12" style="5" customWidth="1"/>
    <col min="17" max="19" width="13.75" style="5" bestFit="1" customWidth="1"/>
    <col min="20" max="20" width="12.5" style="5" customWidth="1"/>
    <col min="21" max="21" width="15" bestFit="1" customWidth="1"/>
    <col min="22" max="22" width="14.5" customWidth="1"/>
    <col min="23" max="23" width="8.125" bestFit="1" customWidth="1"/>
    <col min="24" max="24" width="17" customWidth="1"/>
  </cols>
  <sheetData>
    <row r="1" spans="1:24" ht="20.25" customHeight="1">
      <c r="A1" s="201" t="s">
        <v>339</v>
      </c>
      <c r="B1" s="201" t="s">
        <v>397</v>
      </c>
      <c r="C1" s="220" t="s">
        <v>408</v>
      </c>
      <c r="D1" s="201" t="s">
        <v>34</v>
      </c>
      <c r="E1" s="199" t="s">
        <v>53</v>
      </c>
      <c r="F1" s="222" t="s">
        <v>71</v>
      </c>
      <c r="G1" s="222" t="s">
        <v>130</v>
      </c>
      <c r="H1" s="222" t="s">
        <v>58</v>
      </c>
      <c r="I1" s="202" t="s">
        <v>14</v>
      </c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19" t="s">
        <v>39</v>
      </c>
      <c r="V1" s="219" t="s">
        <v>40</v>
      </c>
      <c r="W1" s="219" t="s">
        <v>41</v>
      </c>
      <c r="X1" s="215" t="s">
        <v>13</v>
      </c>
    </row>
    <row r="2" spans="1:24" ht="24" customHeight="1">
      <c r="A2" s="201"/>
      <c r="B2" s="201"/>
      <c r="C2" s="213"/>
      <c r="D2" s="201"/>
      <c r="E2" s="202"/>
      <c r="F2" s="222"/>
      <c r="G2" s="222"/>
      <c r="H2" s="222"/>
      <c r="I2" s="104" t="s">
        <v>37</v>
      </c>
      <c r="J2" s="104" t="s">
        <v>2</v>
      </c>
      <c r="K2" s="104" t="s">
        <v>3</v>
      </c>
      <c r="L2" s="104" t="s">
        <v>4</v>
      </c>
      <c r="M2" s="104" t="s">
        <v>5</v>
      </c>
      <c r="N2" s="104" t="s">
        <v>62</v>
      </c>
      <c r="O2" s="104" t="s">
        <v>7</v>
      </c>
      <c r="P2" s="104" t="s">
        <v>8</v>
      </c>
      <c r="Q2" s="104" t="s">
        <v>9</v>
      </c>
      <c r="R2" s="104" t="s">
        <v>10</v>
      </c>
      <c r="S2" s="104" t="s">
        <v>11</v>
      </c>
      <c r="T2" s="104" t="s">
        <v>12</v>
      </c>
      <c r="U2" s="215"/>
      <c r="V2" s="215"/>
      <c r="W2" s="215"/>
      <c r="X2" s="215"/>
    </row>
    <row r="3" spans="1:24">
      <c r="A3" s="74" t="s">
        <v>333</v>
      </c>
      <c r="B3" s="74" t="s">
        <v>128</v>
      </c>
      <c r="C3" s="74" t="s">
        <v>409</v>
      </c>
      <c r="D3" s="74" t="s">
        <v>92</v>
      </c>
      <c r="E3" s="46">
        <v>130000000</v>
      </c>
      <c r="F3" s="46"/>
      <c r="G3" s="46">
        <f t="shared" ref="G3:G10" si="0">SUM(E3:F3)</f>
        <v>130000000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130">
        <f>SUM(I3:T3)</f>
        <v>0</v>
      </c>
      <c r="V3" s="130">
        <f>G3-U3</f>
        <v>130000000</v>
      </c>
      <c r="W3" s="47">
        <f>U3/G3</f>
        <v>0</v>
      </c>
      <c r="X3" s="126"/>
    </row>
    <row r="4" spans="1:24">
      <c r="A4" s="74" t="s">
        <v>343</v>
      </c>
      <c r="B4" s="74" t="s">
        <v>267</v>
      </c>
      <c r="C4" s="74" t="s">
        <v>410</v>
      </c>
      <c r="D4" s="74" t="s">
        <v>93</v>
      </c>
      <c r="E4" s="46">
        <v>80000000</v>
      </c>
      <c r="F4" s="46"/>
      <c r="G4" s="46">
        <f t="shared" si="0"/>
        <v>80000000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130">
        <f t="shared" ref="U4:U10" si="1">SUM(I4:T4)</f>
        <v>0</v>
      </c>
      <c r="V4" s="130">
        <f t="shared" ref="V4:V10" si="2">G4-U4</f>
        <v>80000000</v>
      </c>
      <c r="W4" s="47">
        <f t="shared" ref="W4:W10" si="3">U4/G4</f>
        <v>0</v>
      </c>
      <c r="X4" s="126"/>
    </row>
    <row r="5" spans="1:24">
      <c r="A5" s="74" t="s">
        <v>334</v>
      </c>
      <c r="B5" s="74" t="s">
        <v>111</v>
      </c>
      <c r="C5" s="74" t="s">
        <v>411</v>
      </c>
      <c r="D5" s="74" t="s">
        <v>94</v>
      </c>
      <c r="E5" s="46">
        <v>30000000</v>
      </c>
      <c r="F5" s="46"/>
      <c r="G5" s="46">
        <f t="shared" si="0"/>
        <v>30000000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130">
        <f t="shared" si="1"/>
        <v>0</v>
      </c>
      <c r="V5" s="130">
        <f t="shared" si="2"/>
        <v>30000000</v>
      </c>
      <c r="W5" s="47">
        <f t="shared" si="3"/>
        <v>0</v>
      </c>
      <c r="X5" s="126"/>
    </row>
    <row r="6" spans="1:24">
      <c r="A6" s="74" t="s">
        <v>340</v>
      </c>
      <c r="B6" s="74" t="s">
        <v>112</v>
      </c>
      <c r="C6" s="74" t="s">
        <v>412</v>
      </c>
      <c r="D6" s="74" t="s">
        <v>95</v>
      </c>
      <c r="E6" s="46">
        <v>20000000</v>
      </c>
      <c r="F6" s="46"/>
      <c r="G6" s="46">
        <f t="shared" si="0"/>
        <v>20000000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130">
        <f t="shared" si="1"/>
        <v>0</v>
      </c>
      <c r="V6" s="130">
        <f t="shared" si="2"/>
        <v>20000000</v>
      </c>
      <c r="W6" s="47">
        <f t="shared" si="3"/>
        <v>0</v>
      </c>
      <c r="X6" s="126"/>
    </row>
    <row r="7" spans="1:24">
      <c r="A7" s="74" t="s">
        <v>341</v>
      </c>
      <c r="B7" s="74" t="s">
        <v>110</v>
      </c>
      <c r="C7" s="74" t="s">
        <v>413</v>
      </c>
      <c r="D7" s="74" t="s">
        <v>95</v>
      </c>
      <c r="E7" s="46">
        <v>40000000</v>
      </c>
      <c r="F7" s="46"/>
      <c r="G7" s="46">
        <f t="shared" si="0"/>
        <v>40000000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130">
        <f t="shared" si="1"/>
        <v>0</v>
      </c>
      <c r="V7" s="130">
        <f t="shared" si="2"/>
        <v>40000000</v>
      </c>
      <c r="W7" s="47">
        <f t="shared" si="3"/>
        <v>0</v>
      </c>
      <c r="X7" s="126"/>
    </row>
    <row r="8" spans="1:24">
      <c r="A8" s="74" t="s">
        <v>342</v>
      </c>
      <c r="B8" s="74" t="s">
        <v>107</v>
      </c>
      <c r="C8" s="74" t="s">
        <v>414</v>
      </c>
      <c r="D8" s="74" t="s">
        <v>96</v>
      </c>
      <c r="E8" s="46">
        <v>20000000</v>
      </c>
      <c r="F8" s="46"/>
      <c r="G8" s="46">
        <f t="shared" si="0"/>
        <v>20000000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130">
        <f t="shared" si="1"/>
        <v>0</v>
      </c>
      <c r="V8" s="130">
        <f t="shared" si="2"/>
        <v>20000000</v>
      </c>
      <c r="W8" s="47">
        <f t="shared" si="3"/>
        <v>0</v>
      </c>
      <c r="X8" s="126"/>
    </row>
    <row r="9" spans="1:24">
      <c r="A9" s="74" t="s">
        <v>341</v>
      </c>
      <c r="B9" s="74" t="s">
        <v>108</v>
      </c>
      <c r="C9" s="74" t="s">
        <v>414</v>
      </c>
      <c r="D9" s="74" t="s">
        <v>97</v>
      </c>
      <c r="E9" s="46">
        <v>10000000</v>
      </c>
      <c r="F9" s="46"/>
      <c r="G9" s="46">
        <f t="shared" si="0"/>
        <v>10000000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130">
        <f t="shared" si="1"/>
        <v>0</v>
      </c>
      <c r="V9" s="130">
        <f t="shared" si="2"/>
        <v>10000000</v>
      </c>
      <c r="W9" s="47">
        <f t="shared" si="3"/>
        <v>0</v>
      </c>
      <c r="X9" s="126"/>
    </row>
    <row r="10" spans="1:24">
      <c r="A10" s="74" t="s">
        <v>341</v>
      </c>
      <c r="B10" s="74" t="s">
        <v>109</v>
      </c>
      <c r="C10" s="74" t="s">
        <v>414</v>
      </c>
      <c r="D10" s="74" t="s">
        <v>98</v>
      </c>
      <c r="E10" s="46">
        <v>35000000</v>
      </c>
      <c r="F10" s="46"/>
      <c r="G10" s="46">
        <f t="shared" si="0"/>
        <v>35000000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130">
        <f t="shared" si="1"/>
        <v>0</v>
      </c>
      <c r="V10" s="130">
        <f t="shared" si="2"/>
        <v>35000000</v>
      </c>
      <c r="W10" s="47">
        <f t="shared" si="3"/>
        <v>0</v>
      </c>
      <c r="X10" s="126"/>
    </row>
    <row r="11" spans="1:24">
      <c r="A11" s="223" t="s">
        <v>27</v>
      </c>
      <c r="B11" s="224"/>
      <c r="C11" s="224"/>
      <c r="D11" s="225"/>
      <c r="E11" s="131">
        <f>SUBTOTAL(9,E3:E10)</f>
        <v>365000000</v>
      </c>
      <c r="F11" s="131">
        <f>SUBTOTAL(9,F3:F10)</f>
        <v>0</v>
      </c>
      <c r="G11" s="131">
        <f>SUBTOTAL(9,G3:G10)</f>
        <v>365000000</v>
      </c>
      <c r="H11" s="131"/>
      <c r="I11" s="131">
        <f t="shared" ref="I11:T11" si="4">SUBTOTAL(9,I3:I10)</f>
        <v>0</v>
      </c>
      <c r="J11" s="131">
        <f t="shared" si="4"/>
        <v>0</v>
      </c>
      <c r="K11" s="131">
        <f t="shared" si="4"/>
        <v>0</v>
      </c>
      <c r="L11" s="131">
        <f t="shared" si="4"/>
        <v>0</v>
      </c>
      <c r="M11" s="131">
        <f t="shared" si="4"/>
        <v>0</v>
      </c>
      <c r="N11" s="131">
        <f t="shared" si="4"/>
        <v>0</v>
      </c>
      <c r="O11" s="131">
        <f t="shared" si="4"/>
        <v>0</v>
      </c>
      <c r="P11" s="131">
        <f t="shared" si="4"/>
        <v>0</v>
      </c>
      <c r="Q11" s="131">
        <f t="shared" si="4"/>
        <v>0</v>
      </c>
      <c r="R11" s="131">
        <f t="shared" si="4"/>
        <v>0</v>
      </c>
      <c r="S11" s="131">
        <f t="shared" si="4"/>
        <v>0</v>
      </c>
      <c r="T11" s="131">
        <f t="shared" si="4"/>
        <v>0</v>
      </c>
      <c r="U11" s="132">
        <f>SUM(I11:T11)</f>
        <v>0</v>
      </c>
      <c r="V11" s="132">
        <f>SUBTOTAL(9,V3:V10)</f>
        <v>365000000</v>
      </c>
      <c r="W11" s="133">
        <f>U11/G11</f>
        <v>0</v>
      </c>
      <c r="X11" s="134"/>
    </row>
    <row r="13" spans="1:24">
      <c r="E13" s="15"/>
      <c r="F13" s="15"/>
      <c r="G13" s="15"/>
      <c r="H13" s="15"/>
      <c r="Q13" s="43"/>
      <c r="R13" s="43"/>
    </row>
    <row r="14" spans="1:24">
      <c r="E14" s="15"/>
      <c r="F14" s="15"/>
      <c r="G14" s="15"/>
      <c r="H14" s="15"/>
      <c r="Q14" s="44"/>
      <c r="R14" s="44"/>
    </row>
    <row r="15" spans="1:24">
      <c r="Q15" s="44"/>
      <c r="R15" s="44"/>
    </row>
    <row r="16" spans="1:24">
      <c r="Q16" s="45"/>
      <c r="R16" s="45"/>
      <c r="U16" s="5"/>
      <c r="V16" s="5"/>
      <c r="W16" s="5"/>
    </row>
    <row r="17" spans="17:18">
      <c r="Q17" s="43"/>
      <c r="R17" s="43"/>
    </row>
    <row r="18" spans="17:18">
      <c r="Q18" s="43"/>
      <c r="R18" s="43"/>
    </row>
  </sheetData>
  <mergeCells count="14">
    <mergeCell ref="A1:A2"/>
    <mergeCell ref="A11:D11"/>
    <mergeCell ref="U1:U2"/>
    <mergeCell ref="V1:V2"/>
    <mergeCell ref="W1:W2"/>
    <mergeCell ref="C1:C2"/>
    <mergeCell ref="X1:X2"/>
    <mergeCell ref="B1:B2"/>
    <mergeCell ref="D1:D2"/>
    <mergeCell ref="E1:E2"/>
    <mergeCell ref="I1:T1"/>
    <mergeCell ref="F1:F2"/>
    <mergeCell ref="G1:G2"/>
    <mergeCell ref="H1:H2"/>
  </mergeCells>
  <phoneticPr fontId="20" type="noConversion"/>
  <conditionalFormatting sqref="V3:V11">
    <cfRule type="cellIs" dxfId="5" priority="1" operator="lessThan">
      <formula>0</formula>
    </cfRule>
  </conditionalFormatting>
  <pageMargins left="0.7" right="0.7" top="0.75" bottom="0.75" header="0.3" footer="0.3"/>
  <pageSetup paperSize="9" scale="3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25"/>
  <sheetViews>
    <sheetView zoomScale="85" zoomScaleNormal="85" workbookViewId="0">
      <pane xSplit="4" topLeftCell="E1" activePane="topRight" state="frozen"/>
      <selection activeCell="E26" sqref="E26"/>
      <selection pane="topRight" activeCell="E26" sqref="E26"/>
    </sheetView>
  </sheetViews>
  <sheetFormatPr defaultRowHeight="16.5"/>
  <cols>
    <col min="1" max="1" width="5.25" bestFit="1" customWidth="1"/>
    <col min="2" max="2" width="54" bestFit="1" customWidth="1"/>
    <col min="3" max="3" width="7.125" bestFit="1" customWidth="1"/>
    <col min="4" max="4" width="17.25" style="1" bestFit="1" customWidth="1"/>
    <col min="5" max="5" width="14.625" style="5" customWidth="1"/>
    <col min="6" max="6" width="53.875" style="5" customWidth="1"/>
    <col min="7" max="12" width="14.625" style="5" customWidth="1"/>
    <col min="13" max="13" width="13.5" style="5" customWidth="1"/>
    <col min="14" max="15" width="13" style="5" customWidth="1"/>
    <col min="16" max="17" width="13.625" style="5" bestFit="1" customWidth="1"/>
    <col min="18" max="18" width="11.875" style="5" customWidth="1"/>
    <col min="19" max="19" width="13" style="5" customWidth="1"/>
    <col min="20" max="22" width="12.625" style="5" customWidth="1"/>
    <col min="23" max="23" width="15.375" style="5" bestFit="1" customWidth="1"/>
    <col min="24" max="24" width="14.625" style="5" bestFit="1" customWidth="1"/>
    <col min="25" max="25" width="9" style="10"/>
    <col min="27" max="27" width="15.375" bestFit="1" customWidth="1"/>
  </cols>
  <sheetData>
    <row r="1" spans="1:26" ht="20.25" customHeight="1">
      <c r="A1" s="201" t="s">
        <v>396</v>
      </c>
      <c r="B1" s="201" t="s">
        <v>399</v>
      </c>
      <c r="C1" s="201" t="s">
        <v>408</v>
      </c>
      <c r="D1" s="201" t="s">
        <v>0</v>
      </c>
      <c r="E1" s="199" t="s">
        <v>49</v>
      </c>
      <c r="F1" s="199" t="s">
        <v>310</v>
      </c>
      <c r="G1" s="199" t="s">
        <v>91</v>
      </c>
      <c r="H1" s="199" t="s">
        <v>90</v>
      </c>
      <c r="I1" s="222" t="s">
        <v>129</v>
      </c>
      <c r="J1" s="222" t="s">
        <v>427</v>
      </c>
      <c r="K1" s="202" t="s">
        <v>42</v>
      </c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199" t="s">
        <v>50</v>
      </c>
      <c r="X1" s="199" t="s">
        <v>51</v>
      </c>
      <c r="Y1" s="226" t="s">
        <v>52</v>
      </c>
      <c r="Z1" s="215" t="s">
        <v>25</v>
      </c>
    </row>
    <row r="2" spans="1:26" ht="24" customHeight="1">
      <c r="A2" s="201"/>
      <c r="B2" s="201"/>
      <c r="C2" s="201"/>
      <c r="D2" s="201"/>
      <c r="E2" s="202"/>
      <c r="F2" s="199"/>
      <c r="G2" s="199"/>
      <c r="H2" s="199"/>
      <c r="I2" s="222"/>
      <c r="J2" s="222"/>
      <c r="K2" s="104" t="s">
        <v>47</v>
      </c>
      <c r="L2" s="104" t="s">
        <v>48</v>
      </c>
      <c r="M2" s="104" t="s">
        <v>3</v>
      </c>
      <c r="N2" s="104" t="s">
        <v>4</v>
      </c>
      <c r="O2" s="104" t="s">
        <v>5</v>
      </c>
      <c r="P2" s="104" t="s">
        <v>61</v>
      </c>
      <c r="Q2" s="104" t="s">
        <v>7</v>
      </c>
      <c r="R2" s="104" t="s">
        <v>8</v>
      </c>
      <c r="S2" s="104" t="s">
        <v>9</v>
      </c>
      <c r="T2" s="104" t="s">
        <v>10</v>
      </c>
      <c r="U2" s="104" t="s">
        <v>11</v>
      </c>
      <c r="V2" s="104" t="s">
        <v>12</v>
      </c>
      <c r="W2" s="202"/>
      <c r="X2" s="202"/>
      <c r="Y2" s="227"/>
      <c r="Z2" s="215"/>
    </row>
    <row r="3" spans="1:26" ht="20.100000000000001" customHeight="1">
      <c r="A3" s="24" t="s">
        <v>415</v>
      </c>
      <c r="B3" s="24" t="s">
        <v>420</v>
      </c>
      <c r="C3" s="24" t="s">
        <v>416</v>
      </c>
      <c r="D3" s="24" t="s">
        <v>43</v>
      </c>
      <c r="E3" s="135">
        <v>66000000</v>
      </c>
      <c r="F3" s="135"/>
      <c r="G3" s="135"/>
      <c r="H3" s="135"/>
      <c r="I3" s="135"/>
      <c r="J3" s="135">
        <f t="shared" ref="J3:J20" si="0">G3+H3+I3</f>
        <v>0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>
        <f t="shared" ref="W3:W20" si="1">SUM(K3:V3)</f>
        <v>0</v>
      </c>
      <c r="X3" s="46">
        <f t="shared" ref="X3:X20" si="2">J3-W3</f>
        <v>0</v>
      </c>
      <c r="Y3" s="47" t="e">
        <f t="shared" ref="Y3:Y20" si="3">W3/J3</f>
        <v>#DIV/0!</v>
      </c>
      <c r="Z3" s="126"/>
    </row>
    <row r="4" spans="1:26" ht="20.100000000000001" customHeight="1">
      <c r="A4" s="24" t="s">
        <v>415</v>
      </c>
      <c r="B4" s="24" t="s">
        <v>420</v>
      </c>
      <c r="C4" s="24" t="s">
        <v>416</v>
      </c>
      <c r="D4" s="24" t="s">
        <v>123</v>
      </c>
      <c r="E4" s="135">
        <v>92200000</v>
      </c>
      <c r="F4" s="135"/>
      <c r="G4" s="135"/>
      <c r="H4" s="135"/>
      <c r="I4" s="135"/>
      <c r="J4" s="135">
        <f t="shared" si="0"/>
        <v>0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>
        <f t="shared" si="2"/>
        <v>0</v>
      </c>
      <c r="Y4" s="47"/>
      <c r="Z4" s="126"/>
    </row>
    <row r="5" spans="1:26" ht="20.100000000000001" customHeight="1">
      <c r="A5" s="24" t="s">
        <v>415</v>
      </c>
      <c r="B5" s="24" t="s">
        <v>420</v>
      </c>
      <c r="C5" s="24" t="s">
        <v>416</v>
      </c>
      <c r="D5" s="24" t="s">
        <v>140</v>
      </c>
      <c r="E5" s="135">
        <v>1500000</v>
      </c>
      <c r="F5" s="135"/>
      <c r="G5" s="135"/>
      <c r="H5" s="135"/>
      <c r="I5" s="135"/>
      <c r="J5" s="135">
        <f t="shared" si="0"/>
        <v>0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7"/>
      <c r="Z5" s="126"/>
    </row>
    <row r="6" spans="1:26" s="49" customFormat="1" ht="20.100000000000001" customHeight="1">
      <c r="A6" s="24" t="s">
        <v>415</v>
      </c>
      <c r="B6" s="24" t="s">
        <v>421</v>
      </c>
      <c r="C6" s="24" t="s">
        <v>416</v>
      </c>
      <c r="D6" s="24" t="s">
        <v>100</v>
      </c>
      <c r="E6" s="135">
        <v>1200000</v>
      </c>
      <c r="F6" s="135"/>
      <c r="G6" s="135"/>
      <c r="H6" s="135"/>
      <c r="I6" s="135"/>
      <c r="J6" s="135">
        <f t="shared" si="0"/>
        <v>0</v>
      </c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>
        <f t="shared" si="1"/>
        <v>0</v>
      </c>
      <c r="X6" s="46">
        <f t="shared" si="2"/>
        <v>0</v>
      </c>
      <c r="Y6" s="47" t="e">
        <f t="shared" si="3"/>
        <v>#DIV/0!</v>
      </c>
      <c r="Z6" s="126"/>
    </row>
    <row r="7" spans="1:26" s="49" customFormat="1" ht="20.100000000000001" customHeight="1">
      <c r="A7" s="24" t="s">
        <v>415</v>
      </c>
      <c r="B7" s="24" t="s">
        <v>421</v>
      </c>
      <c r="C7" s="24" t="s">
        <v>416</v>
      </c>
      <c r="D7" s="24" t="s">
        <v>77</v>
      </c>
      <c r="E7" s="135">
        <v>200000000</v>
      </c>
      <c r="F7" s="135" t="s">
        <v>311</v>
      </c>
      <c r="G7" s="135"/>
      <c r="H7" s="135"/>
      <c r="I7" s="135"/>
      <c r="J7" s="135">
        <f t="shared" si="0"/>
        <v>0</v>
      </c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7"/>
      <c r="Z7" s="126"/>
    </row>
    <row r="8" spans="1:26" s="49" customFormat="1">
      <c r="A8" s="24" t="s">
        <v>415</v>
      </c>
      <c r="B8" s="24" t="s">
        <v>421</v>
      </c>
      <c r="C8" s="24" t="s">
        <v>416</v>
      </c>
      <c r="D8" s="24" t="s">
        <v>141</v>
      </c>
      <c r="E8" s="135">
        <v>1000000</v>
      </c>
      <c r="F8" s="135"/>
      <c r="G8" s="135"/>
      <c r="H8" s="135"/>
      <c r="I8" s="135"/>
      <c r="J8" s="135">
        <f t="shared" si="0"/>
        <v>0</v>
      </c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126"/>
    </row>
    <row r="9" spans="1:26" s="49" customFormat="1">
      <c r="A9" s="24" t="s">
        <v>415</v>
      </c>
      <c r="B9" s="24" t="s">
        <v>421</v>
      </c>
      <c r="C9" s="24" t="s">
        <v>416</v>
      </c>
      <c r="D9" s="24" t="s">
        <v>143</v>
      </c>
      <c r="E9" s="135">
        <v>1000000</v>
      </c>
      <c r="F9" s="135"/>
      <c r="G9" s="135"/>
      <c r="H9" s="135"/>
      <c r="I9" s="135"/>
      <c r="J9" s="135">
        <f t="shared" si="0"/>
        <v>0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126"/>
    </row>
    <row r="10" spans="1:26" ht="24">
      <c r="A10" s="24" t="s">
        <v>415</v>
      </c>
      <c r="B10" s="24" t="s">
        <v>422</v>
      </c>
      <c r="C10" s="24" t="s">
        <v>401</v>
      </c>
      <c r="D10" s="24" t="s">
        <v>138</v>
      </c>
      <c r="E10" s="135">
        <v>90000000</v>
      </c>
      <c r="F10" s="136" t="s">
        <v>312</v>
      </c>
      <c r="G10" s="135"/>
      <c r="H10" s="135"/>
      <c r="I10" s="135"/>
      <c r="J10" s="135">
        <f t="shared" si="0"/>
        <v>0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/>
      <c r="Z10" s="126"/>
    </row>
    <row r="11" spans="1:26" ht="20.100000000000001" customHeight="1">
      <c r="A11" s="24" t="s">
        <v>415</v>
      </c>
      <c r="B11" s="24" t="s">
        <v>422</v>
      </c>
      <c r="C11" s="24" t="s">
        <v>401</v>
      </c>
      <c r="D11" s="24" t="s">
        <v>43</v>
      </c>
      <c r="E11" s="135">
        <v>30000000</v>
      </c>
      <c r="F11" s="135"/>
      <c r="G11" s="135"/>
      <c r="H11" s="135"/>
      <c r="I11" s="135"/>
      <c r="J11" s="135">
        <f t="shared" si="0"/>
        <v>0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/>
      <c r="Z11" s="126"/>
    </row>
    <row r="12" spans="1:26" ht="20.100000000000001" customHeight="1">
      <c r="A12" s="24" t="s">
        <v>415</v>
      </c>
      <c r="B12" s="24" t="s">
        <v>422</v>
      </c>
      <c r="C12" s="24" t="s">
        <v>401</v>
      </c>
      <c r="D12" s="24" t="s">
        <v>140</v>
      </c>
      <c r="E12" s="135">
        <v>1500000</v>
      </c>
      <c r="F12" s="135"/>
      <c r="G12" s="135"/>
      <c r="H12" s="135"/>
      <c r="I12" s="135"/>
      <c r="J12" s="135">
        <f t="shared" si="0"/>
        <v>0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/>
      <c r="Z12" s="126"/>
    </row>
    <row r="13" spans="1:26" s="49" customFormat="1" ht="72">
      <c r="A13" s="24" t="s">
        <v>415</v>
      </c>
      <c r="B13" s="24" t="s">
        <v>423</v>
      </c>
      <c r="C13" s="24" t="s">
        <v>417</v>
      </c>
      <c r="D13" s="24" t="s">
        <v>86</v>
      </c>
      <c r="E13" s="135">
        <v>438000000</v>
      </c>
      <c r="F13" s="136" t="s">
        <v>313</v>
      </c>
      <c r="G13" s="135"/>
      <c r="H13" s="135"/>
      <c r="I13" s="135"/>
      <c r="J13" s="135">
        <f t="shared" si="0"/>
        <v>0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>
        <f t="shared" si="1"/>
        <v>0</v>
      </c>
      <c r="X13" s="46">
        <f t="shared" si="2"/>
        <v>0</v>
      </c>
      <c r="Y13" s="47" t="e">
        <f t="shared" si="3"/>
        <v>#DIV/0!</v>
      </c>
      <c r="Z13" s="126"/>
    </row>
    <row r="14" spans="1:26" s="49" customFormat="1" ht="20.100000000000001" customHeight="1">
      <c r="A14" s="24" t="s">
        <v>415</v>
      </c>
      <c r="B14" s="24" t="s">
        <v>424</v>
      </c>
      <c r="C14" s="24" t="s">
        <v>417</v>
      </c>
      <c r="D14" s="24" t="s">
        <v>101</v>
      </c>
      <c r="E14" s="135">
        <v>150000000</v>
      </c>
      <c r="F14" s="135"/>
      <c r="G14" s="135"/>
      <c r="H14" s="135"/>
      <c r="I14" s="135"/>
      <c r="J14" s="135">
        <f t="shared" si="0"/>
        <v>0</v>
      </c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>
        <f t="shared" si="1"/>
        <v>0</v>
      </c>
      <c r="X14" s="46">
        <f t="shared" si="2"/>
        <v>0</v>
      </c>
      <c r="Y14" s="47" t="e">
        <f t="shared" si="3"/>
        <v>#DIV/0!</v>
      </c>
      <c r="Z14" s="126"/>
    </row>
    <row r="15" spans="1:26" ht="20.100000000000001" customHeight="1">
      <c r="A15" s="24" t="s">
        <v>415</v>
      </c>
      <c r="B15" s="24" t="s">
        <v>425</v>
      </c>
      <c r="C15" s="24" t="s">
        <v>418</v>
      </c>
      <c r="D15" s="24" t="s">
        <v>43</v>
      </c>
      <c r="E15" s="135">
        <v>106700000</v>
      </c>
      <c r="F15" s="135"/>
      <c r="G15" s="135"/>
      <c r="H15" s="135"/>
      <c r="I15" s="135"/>
      <c r="J15" s="135">
        <f t="shared" si="0"/>
        <v>0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>
        <f t="shared" si="1"/>
        <v>0</v>
      </c>
      <c r="X15" s="46">
        <f t="shared" si="2"/>
        <v>0</v>
      </c>
      <c r="Y15" s="47" t="e">
        <f t="shared" si="3"/>
        <v>#DIV/0!</v>
      </c>
      <c r="Z15" s="126"/>
    </row>
    <row r="16" spans="1:26" ht="20.100000000000001" customHeight="1">
      <c r="A16" s="24" t="s">
        <v>415</v>
      </c>
      <c r="B16" s="24" t="s">
        <v>425</v>
      </c>
      <c r="C16" s="24" t="s">
        <v>418</v>
      </c>
      <c r="D16" s="24" t="s">
        <v>100</v>
      </c>
      <c r="E16" s="135">
        <v>35000000</v>
      </c>
      <c r="F16" s="135"/>
      <c r="G16" s="135"/>
      <c r="H16" s="135"/>
      <c r="I16" s="135"/>
      <c r="J16" s="135">
        <f t="shared" si="0"/>
        <v>0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>
        <f t="shared" si="1"/>
        <v>0</v>
      </c>
      <c r="X16" s="46">
        <f t="shared" si="2"/>
        <v>0</v>
      </c>
      <c r="Y16" s="47" t="e">
        <f t="shared" si="3"/>
        <v>#DIV/0!</v>
      </c>
      <c r="Z16" s="126"/>
    </row>
    <row r="17" spans="1:27" ht="20.100000000000001" customHeight="1">
      <c r="A17" s="24" t="s">
        <v>415</v>
      </c>
      <c r="B17" s="24" t="s">
        <v>425</v>
      </c>
      <c r="C17" s="24" t="s">
        <v>418</v>
      </c>
      <c r="D17" s="24" t="s">
        <v>46</v>
      </c>
      <c r="E17" s="135">
        <v>3500000</v>
      </c>
      <c r="F17" s="135"/>
      <c r="G17" s="135"/>
      <c r="H17" s="135"/>
      <c r="I17" s="135"/>
      <c r="J17" s="135">
        <f t="shared" si="0"/>
        <v>0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>
        <f t="shared" si="1"/>
        <v>0</v>
      </c>
      <c r="X17" s="46">
        <f t="shared" si="2"/>
        <v>0</v>
      </c>
      <c r="Y17" s="47" t="e">
        <f t="shared" si="3"/>
        <v>#DIV/0!</v>
      </c>
      <c r="Z17" s="126"/>
    </row>
    <row r="18" spans="1:27" ht="20.100000000000001" customHeight="1">
      <c r="A18" s="24" t="s">
        <v>415</v>
      </c>
      <c r="B18" s="24" t="s">
        <v>425</v>
      </c>
      <c r="C18" s="24" t="s">
        <v>418</v>
      </c>
      <c r="D18" s="24" t="s">
        <v>139</v>
      </c>
      <c r="E18" s="135">
        <v>3000000</v>
      </c>
      <c r="F18" s="135"/>
      <c r="G18" s="135"/>
      <c r="H18" s="135"/>
      <c r="I18" s="135"/>
      <c r="J18" s="135">
        <f t="shared" si="0"/>
        <v>0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126"/>
    </row>
    <row r="19" spans="1:27" ht="20.100000000000001" customHeight="1">
      <c r="A19" s="24" t="s">
        <v>415</v>
      </c>
      <c r="B19" s="24" t="s">
        <v>425</v>
      </c>
      <c r="C19" s="24" t="s">
        <v>418</v>
      </c>
      <c r="D19" s="24" t="s">
        <v>142</v>
      </c>
      <c r="E19" s="135">
        <v>6800000</v>
      </c>
      <c r="F19" s="135"/>
      <c r="G19" s="135"/>
      <c r="H19" s="135"/>
      <c r="I19" s="135"/>
      <c r="J19" s="135">
        <f t="shared" si="0"/>
        <v>0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126"/>
    </row>
    <row r="20" spans="1:27" s="49" customFormat="1" ht="20.100000000000001" customHeight="1">
      <c r="A20" s="24" t="s">
        <v>415</v>
      </c>
      <c r="B20" s="24" t="s">
        <v>426</v>
      </c>
      <c r="C20" s="24" t="s">
        <v>419</v>
      </c>
      <c r="D20" s="24" t="s">
        <v>122</v>
      </c>
      <c r="E20" s="135">
        <v>1000000</v>
      </c>
      <c r="F20" s="135"/>
      <c r="G20" s="135"/>
      <c r="H20" s="135"/>
      <c r="I20" s="135"/>
      <c r="J20" s="135">
        <f t="shared" si="0"/>
        <v>0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>
        <f t="shared" si="1"/>
        <v>0</v>
      </c>
      <c r="X20" s="46">
        <f t="shared" si="2"/>
        <v>0</v>
      </c>
      <c r="Y20" s="47" t="e">
        <f t="shared" si="3"/>
        <v>#DIV/0!</v>
      </c>
      <c r="Z20" s="126"/>
    </row>
    <row r="21" spans="1:27">
      <c r="A21" s="221" t="s">
        <v>24</v>
      </c>
      <c r="B21" s="221"/>
      <c r="C21" s="221"/>
      <c r="D21" s="221"/>
      <c r="E21" s="137">
        <f t="shared" ref="E21:X21" si="4">SUBTOTAL(9,E3:E20)</f>
        <v>1228400000</v>
      </c>
      <c r="F21" s="137"/>
      <c r="G21" s="137">
        <f t="shared" si="4"/>
        <v>0</v>
      </c>
      <c r="H21" s="137">
        <f t="shared" si="4"/>
        <v>0</v>
      </c>
      <c r="I21" s="137">
        <f t="shared" si="4"/>
        <v>0</v>
      </c>
      <c r="J21" s="137">
        <f t="shared" si="4"/>
        <v>0</v>
      </c>
      <c r="K21" s="137">
        <f t="shared" si="4"/>
        <v>0</v>
      </c>
      <c r="L21" s="137">
        <f t="shared" si="4"/>
        <v>0</v>
      </c>
      <c r="M21" s="137">
        <f t="shared" si="4"/>
        <v>0</v>
      </c>
      <c r="N21" s="137">
        <f t="shared" si="4"/>
        <v>0</v>
      </c>
      <c r="O21" s="137">
        <f t="shared" si="4"/>
        <v>0</v>
      </c>
      <c r="P21" s="137">
        <f t="shared" si="4"/>
        <v>0</v>
      </c>
      <c r="Q21" s="137">
        <f t="shared" si="4"/>
        <v>0</v>
      </c>
      <c r="R21" s="137">
        <f t="shared" si="4"/>
        <v>0</v>
      </c>
      <c r="S21" s="137">
        <f t="shared" si="4"/>
        <v>0</v>
      </c>
      <c r="T21" s="137">
        <f t="shared" si="4"/>
        <v>0</v>
      </c>
      <c r="U21" s="137">
        <f t="shared" si="4"/>
        <v>0</v>
      </c>
      <c r="V21" s="137">
        <f t="shared" si="4"/>
        <v>0</v>
      </c>
      <c r="W21" s="137">
        <f t="shared" si="4"/>
        <v>0</v>
      </c>
      <c r="X21" s="137">
        <f t="shared" si="4"/>
        <v>0</v>
      </c>
      <c r="Y21" s="138" t="e">
        <f t="shared" ref="Y21" si="5">W21/J21</f>
        <v>#DIV/0!</v>
      </c>
      <c r="Z21" s="129"/>
      <c r="AA21" s="5"/>
    </row>
    <row r="22" spans="1:27">
      <c r="U22" s="42"/>
      <c r="V22" s="42"/>
    </row>
    <row r="25" spans="1:27">
      <c r="A25" s="40"/>
    </row>
  </sheetData>
  <mergeCells count="16">
    <mergeCell ref="A21:D21"/>
    <mergeCell ref="Y1:Y2"/>
    <mergeCell ref="Z1:Z2"/>
    <mergeCell ref="I1:I2"/>
    <mergeCell ref="K1:V1"/>
    <mergeCell ref="W1:W2"/>
    <mergeCell ref="A1:A2"/>
    <mergeCell ref="D1:D2"/>
    <mergeCell ref="E1:E2"/>
    <mergeCell ref="X1:X2"/>
    <mergeCell ref="J1:J2"/>
    <mergeCell ref="G1:G2"/>
    <mergeCell ref="H1:H2"/>
    <mergeCell ref="F1:F2"/>
    <mergeCell ref="B1:B2"/>
    <mergeCell ref="C1:C2"/>
  </mergeCells>
  <phoneticPr fontId="20" type="noConversion"/>
  <conditionalFormatting sqref="X3:X21">
    <cfRule type="cellIs" dxfId="4" priority="2" operator="lessThan">
      <formula>0</formula>
    </cfRule>
  </conditionalFormatting>
  <pageMargins left="0.7" right="0.7" top="0.75" bottom="0.75" header="0.3" footer="0.3"/>
  <pageSetup paperSize="9" scale="1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A897-2A40-42F8-B193-C2F6BF005CBE}">
  <sheetPr>
    <pageSetUpPr fitToPage="1"/>
  </sheetPr>
  <dimension ref="A1:AP23"/>
  <sheetViews>
    <sheetView tabSelected="1" topLeftCell="U1" zoomScale="55" zoomScaleNormal="55" workbookViewId="0">
      <selection activeCell="AP6" sqref="AP6"/>
    </sheetView>
  </sheetViews>
  <sheetFormatPr defaultColWidth="8.75" defaultRowHeight="16.5"/>
  <cols>
    <col min="1" max="1" width="5.125" bestFit="1" customWidth="1"/>
    <col min="2" max="2" width="9.875" customWidth="1"/>
    <col min="3" max="3" width="20.25" bestFit="1" customWidth="1"/>
    <col min="4" max="4" width="47.75" bestFit="1" customWidth="1"/>
    <col min="5" max="5" width="16.75" bestFit="1" customWidth="1"/>
    <col min="6" max="6" width="16.75" customWidth="1"/>
    <col min="7" max="7" width="17.125" bestFit="1" customWidth="1"/>
    <col min="8" max="8" width="17.5" style="153" hidden="1" customWidth="1"/>
    <col min="9" max="9" width="18.25" hidden="1" customWidth="1"/>
    <col min="10" max="11" width="17" hidden="1" customWidth="1"/>
    <col min="12" max="20" width="14.625" hidden="1" customWidth="1"/>
    <col min="21" max="21" width="17.75" customWidth="1"/>
    <col min="22" max="28" width="14.625" hidden="1" customWidth="1"/>
    <col min="29" max="30" width="12.75" hidden="1" customWidth="1"/>
    <col min="31" max="32" width="12.75" customWidth="1"/>
    <col min="33" max="33" width="14.5" customWidth="1"/>
    <col min="34" max="34" width="12.75" customWidth="1"/>
    <col min="35" max="35" width="17.875" bestFit="1" customWidth="1"/>
    <col min="36" max="36" width="16.25" bestFit="1" customWidth="1"/>
    <col min="37" max="37" width="12.5" customWidth="1"/>
    <col min="38" max="38" width="12.5" style="9" hidden="1" customWidth="1"/>
    <col min="39" max="39" width="15" style="9" hidden="1" customWidth="1"/>
    <col min="40" max="41" width="14.125" style="9" hidden="1" customWidth="1"/>
    <col min="42" max="42" width="89.5" style="52" customWidth="1"/>
  </cols>
  <sheetData>
    <row r="1" spans="1:42" ht="15" customHeight="1" thickTop="1">
      <c r="A1" s="230" t="s">
        <v>473</v>
      </c>
      <c r="B1" s="249" t="s">
        <v>145</v>
      </c>
      <c r="C1" s="212" t="s">
        <v>361</v>
      </c>
      <c r="D1" s="212" t="s">
        <v>397</v>
      </c>
      <c r="E1" s="210" t="s">
        <v>240</v>
      </c>
      <c r="F1" s="210" t="s">
        <v>439</v>
      </c>
      <c r="G1" s="212" t="s">
        <v>0</v>
      </c>
      <c r="H1" s="210" t="s">
        <v>315</v>
      </c>
      <c r="I1" s="210" t="s">
        <v>292</v>
      </c>
      <c r="J1" s="210" t="s">
        <v>102</v>
      </c>
      <c r="K1" s="210" t="s">
        <v>68</v>
      </c>
      <c r="L1" s="210" t="s">
        <v>461</v>
      </c>
      <c r="M1" s="210" t="s">
        <v>462</v>
      </c>
      <c r="N1" s="210" t="s">
        <v>465</v>
      </c>
      <c r="O1" s="210" t="s">
        <v>469</v>
      </c>
      <c r="P1" s="210" t="s">
        <v>470</v>
      </c>
      <c r="Q1" s="210" t="s">
        <v>463</v>
      </c>
      <c r="R1" s="210" t="s">
        <v>464</v>
      </c>
      <c r="S1" s="210" t="s">
        <v>466</v>
      </c>
      <c r="T1" s="210" t="s">
        <v>467</v>
      </c>
      <c r="U1" s="210" t="s">
        <v>456</v>
      </c>
      <c r="V1" s="243" t="s">
        <v>85</v>
      </c>
      <c r="W1" s="244"/>
      <c r="X1" s="244"/>
      <c r="Y1" s="244"/>
      <c r="Z1" s="244"/>
      <c r="AA1" s="244"/>
      <c r="AB1" s="245"/>
      <c r="AC1" s="245"/>
      <c r="AD1" s="245"/>
      <c r="AE1" s="245"/>
      <c r="AF1" s="245"/>
      <c r="AG1" s="245"/>
      <c r="AH1" s="246"/>
      <c r="AI1" s="210" t="s">
        <v>457</v>
      </c>
      <c r="AJ1" s="210" t="s">
        <v>458</v>
      </c>
      <c r="AK1" s="247" t="s">
        <v>459</v>
      </c>
      <c r="AL1" s="232" t="s">
        <v>474</v>
      </c>
      <c r="AM1" s="234" t="s">
        <v>475</v>
      </c>
      <c r="AN1" s="228" t="s">
        <v>520</v>
      </c>
      <c r="AO1" s="237" t="s">
        <v>527</v>
      </c>
      <c r="AP1" s="241" t="s">
        <v>472</v>
      </c>
    </row>
    <row r="2" spans="1:42" ht="12.6" customHeight="1">
      <c r="A2" s="231"/>
      <c r="B2" s="250"/>
      <c r="C2" s="213"/>
      <c r="D2" s="213"/>
      <c r="E2" s="211"/>
      <c r="F2" s="211"/>
      <c r="G2" s="213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157" t="s">
        <v>1</v>
      </c>
      <c r="W2" s="157" t="s">
        <v>48</v>
      </c>
      <c r="X2" s="157" t="s">
        <v>81</v>
      </c>
      <c r="Y2" s="157" t="s">
        <v>82</v>
      </c>
      <c r="Z2" s="157" t="s">
        <v>83</v>
      </c>
      <c r="AA2" s="165" t="s">
        <v>61</v>
      </c>
      <c r="AB2" s="166" t="s">
        <v>7</v>
      </c>
      <c r="AC2" s="166" t="s">
        <v>8</v>
      </c>
      <c r="AD2" s="166" t="s">
        <v>9</v>
      </c>
      <c r="AE2" s="166" t="s">
        <v>471</v>
      </c>
      <c r="AF2" s="169" t="s">
        <v>10</v>
      </c>
      <c r="AG2" s="169" t="s">
        <v>11</v>
      </c>
      <c r="AH2" s="169" t="s">
        <v>12</v>
      </c>
      <c r="AI2" s="236"/>
      <c r="AJ2" s="211"/>
      <c r="AK2" s="248"/>
      <c r="AL2" s="233"/>
      <c r="AM2" s="235"/>
      <c r="AN2" s="229"/>
      <c r="AO2" s="238"/>
      <c r="AP2" s="242"/>
    </row>
    <row r="3" spans="1:42" ht="3" customHeight="1">
      <c r="A3" s="172"/>
      <c r="B3" s="171"/>
      <c r="C3" s="154"/>
      <c r="D3" s="155"/>
      <c r="E3" s="103">
        <v>0</v>
      </c>
      <c r="F3" s="156"/>
      <c r="G3" s="155"/>
      <c r="H3" s="103"/>
      <c r="I3" s="156"/>
      <c r="J3" s="103"/>
      <c r="K3" s="156"/>
      <c r="L3" s="103"/>
      <c r="M3" s="156"/>
      <c r="N3" s="156"/>
      <c r="O3" s="156"/>
      <c r="P3" s="156"/>
      <c r="Q3" s="156"/>
      <c r="R3" s="156"/>
      <c r="S3" s="156"/>
      <c r="T3" s="156"/>
      <c r="U3" s="103"/>
      <c r="V3" s="103"/>
      <c r="W3" s="103"/>
      <c r="X3" s="103"/>
      <c r="Y3" s="103"/>
      <c r="Z3" s="103"/>
      <c r="AA3" s="158"/>
      <c r="AB3" s="159"/>
      <c r="AC3" s="159"/>
      <c r="AD3" s="159"/>
      <c r="AE3" s="159"/>
      <c r="AF3" s="170"/>
      <c r="AG3" s="170"/>
      <c r="AH3" s="170"/>
      <c r="AI3" s="160"/>
      <c r="AJ3" s="104"/>
      <c r="AK3" s="163"/>
      <c r="AL3" s="163"/>
      <c r="AM3" s="163"/>
      <c r="AN3" s="176"/>
      <c r="AO3" s="179"/>
      <c r="AP3" s="174"/>
    </row>
    <row r="4" spans="1:42" ht="84">
      <c r="A4" s="173"/>
      <c r="B4" s="140" t="s">
        <v>181</v>
      </c>
      <c r="C4" s="140" t="s">
        <v>441</v>
      </c>
      <c r="D4" s="24" t="s">
        <v>235</v>
      </c>
      <c r="E4" s="24"/>
      <c r="F4" s="118" t="s">
        <v>443</v>
      </c>
      <c r="G4" s="24" t="s">
        <v>46</v>
      </c>
      <c r="H4" s="141">
        <v>0</v>
      </c>
      <c r="I4" s="141">
        <v>0</v>
      </c>
      <c r="J4" s="141">
        <f t="shared" ref="J4" si="0">I4*0.7</f>
        <v>0</v>
      </c>
      <c r="K4" s="141">
        <f t="shared" ref="K4" si="1">I4-J4</f>
        <v>0</v>
      </c>
      <c r="L4" s="48"/>
      <c r="M4" s="48"/>
      <c r="N4" s="48"/>
      <c r="O4" s="48"/>
      <c r="P4" s="48"/>
      <c r="Q4" s="48">
        <v>45952000</v>
      </c>
      <c r="R4" s="48"/>
      <c r="S4" s="48"/>
      <c r="T4" s="48">
        <v>0</v>
      </c>
      <c r="U4" s="187">
        <f t="shared" ref="U4" si="2">SUM(J4:T4)</f>
        <v>45952000</v>
      </c>
      <c r="V4" s="48">
        <v>0</v>
      </c>
      <c r="W4" s="48">
        <v>0</v>
      </c>
      <c r="X4" s="48">
        <v>0</v>
      </c>
      <c r="Y4" s="21"/>
      <c r="Z4" s="21"/>
      <c r="AA4" s="180"/>
      <c r="AB4" s="46"/>
      <c r="AC4" s="46"/>
      <c r="AD4" s="46"/>
      <c r="AE4" s="188">
        <v>12111920</v>
      </c>
      <c r="AF4" s="168">
        <f>6916060</f>
        <v>6916060</v>
      </c>
      <c r="AG4" s="168">
        <f>12128000-427800-AF4</f>
        <v>4784140</v>
      </c>
      <c r="AH4" s="189">
        <v>0</v>
      </c>
      <c r="AI4" s="181">
        <f t="shared" ref="AI4" si="3">SUM(AE4:AH4)</f>
        <v>23812120</v>
      </c>
      <c r="AJ4" s="46">
        <f t="shared" ref="AJ4" si="4">U4-AI4</f>
        <v>22139880</v>
      </c>
      <c r="AK4" s="182">
        <f t="shared" ref="AK4" si="5">AI4/U4</f>
        <v>0.51819550835654593</v>
      </c>
      <c r="AL4" s="183"/>
      <c r="AM4" s="184">
        <f t="shared" ref="AM4" si="6">AJ4+AL4</f>
        <v>22139880</v>
      </c>
      <c r="AN4" s="185"/>
      <c r="AO4" s="186">
        <f t="shared" ref="AO4" si="7">U4-AN4</f>
        <v>45952000</v>
      </c>
      <c r="AP4" s="264" t="s">
        <v>528</v>
      </c>
    </row>
    <row r="5" spans="1:42" ht="17.25" thickBot="1">
      <c r="A5" s="239" t="s">
        <v>23</v>
      </c>
      <c r="B5" s="240"/>
      <c r="C5" s="240"/>
      <c r="D5" s="240"/>
      <c r="E5" s="240"/>
      <c r="F5" s="240"/>
      <c r="G5" s="204"/>
      <c r="H5" s="150">
        <f t="shared" ref="H5:AD5" si="8">SUBTOTAL(9,H4:H4)</f>
        <v>0</v>
      </c>
      <c r="I5" s="150">
        <f t="shared" si="8"/>
        <v>0</v>
      </c>
      <c r="J5" s="150">
        <f t="shared" si="8"/>
        <v>0</v>
      </c>
      <c r="K5" s="105">
        <f t="shared" si="8"/>
        <v>0</v>
      </c>
      <c r="L5" s="105">
        <f t="shared" si="8"/>
        <v>0</v>
      </c>
      <c r="M5" s="105">
        <f t="shared" si="8"/>
        <v>0</v>
      </c>
      <c r="N5" s="105">
        <f t="shared" si="8"/>
        <v>0</v>
      </c>
      <c r="O5" s="105">
        <f t="shared" si="8"/>
        <v>0</v>
      </c>
      <c r="P5" s="105">
        <f t="shared" si="8"/>
        <v>0</v>
      </c>
      <c r="Q5" s="105">
        <f t="shared" si="8"/>
        <v>45952000</v>
      </c>
      <c r="R5" s="105">
        <f t="shared" si="8"/>
        <v>0</v>
      </c>
      <c r="S5" s="105">
        <f t="shared" si="8"/>
        <v>0</v>
      </c>
      <c r="T5" s="105">
        <f t="shared" si="8"/>
        <v>0</v>
      </c>
      <c r="U5" s="105">
        <f t="shared" si="8"/>
        <v>45952000</v>
      </c>
      <c r="V5" s="105">
        <f t="shared" si="8"/>
        <v>0</v>
      </c>
      <c r="W5" s="105">
        <f t="shared" si="8"/>
        <v>0</v>
      </c>
      <c r="X5" s="105">
        <f t="shared" si="8"/>
        <v>0</v>
      </c>
      <c r="Y5" s="105">
        <f t="shared" si="8"/>
        <v>0</v>
      </c>
      <c r="Z5" s="105">
        <f t="shared" si="8"/>
        <v>0</v>
      </c>
      <c r="AA5" s="162">
        <f t="shared" si="8"/>
        <v>0</v>
      </c>
      <c r="AB5" s="105">
        <f t="shared" si="8"/>
        <v>0</v>
      </c>
      <c r="AC5" s="105">
        <f t="shared" si="8"/>
        <v>0</v>
      </c>
      <c r="AD5" s="105">
        <f t="shared" si="8"/>
        <v>0</v>
      </c>
      <c r="AE5" s="150">
        <f t="shared" ref="AE5" si="9">SUM(V5:AD5)</f>
        <v>0</v>
      </c>
      <c r="AF5" s="150">
        <f>SUBTOTAL(9,AF4:AF4)</f>
        <v>6916060</v>
      </c>
      <c r="AG5" s="150">
        <f>SUBTOTAL(9,AG4:AG4)</f>
        <v>4784140</v>
      </c>
      <c r="AH5" s="150">
        <f>SUBTOTAL(9,AH4:AH4)</f>
        <v>0</v>
      </c>
      <c r="AI5" s="161">
        <f t="shared" ref="AI5" si="10">SUM(AE5:AH5)</f>
        <v>11700200</v>
      </c>
      <c r="AJ5" s="105">
        <f>SUBTOTAL(9,AJ4:AJ4)</f>
        <v>22139880</v>
      </c>
      <c r="AK5" s="164">
        <f t="shared" ref="AK5" si="11">AI5/U5</f>
        <v>0.25461786211699167</v>
      </c>
      <c r="AL5" s="105">
        <f>SUBTOTAL(9,AL4:AL4)</f>
        <v>0</v>
      </c>
      <c r="AM5" s="162">
        <f>SUBTOTAL(9,AM4:AM4)</f>
        <v>22139880</v>
      </c>
      <c r="AN5" s="177">
        <f>SUBTOTAL(9,AN4:AN4)</f>
        <v>0</v>
      </c>
      <c r="AO5" s="177">
        <f>SUBTOTAL(9,AO4:AO4)</f>
        <v>45952000</v>
      </c>
      <c r="AP5" s="175"/>
    </row>
    <row r="6" spans="1:42">
      <c r="G6" s="153"/>
      <c r="H6"/>
    </row>
    <row r="7" spans="1:42">
      <c r="V7" s="167"/>
    </row>
    <row r="8" spans="1:42">
      <c r="AI8" s="9"/>
    </row>
    <row r="9" spans="1:42">
      <c r="AF9" s="9"/>
    </row>
    <row r="10" spans="1:42">
      <c r="AI10" s="9"/>
    </row>
    <row r="11" spans="1:42">
      <c r="AH11" s="9"/>
      <c r="AI11" s="9"/>
    </row>
    <row r="12" spans="1:42">
      <c r="AH12" s="9"/>
      <c r="AI12" s="9"/>
    </row>
    <row r="22" spans="24:32">
      <c r="AF22" s="9"/>
    </row>
    <row r="23" spans="24:32">
      <c r="X23" s="178"/>
    </row>
  </sheetData>
  <mergeCells count="31">
    <mergeCell ref="AO1:AO2"/>
    <mergeCell ref="A5:G5"/>
    <mergeCell ref="AP1:AP2"/>
    <mergeCell ref="V1:AH1"/>
    <mergeCell ref="AK1:AK2"/>
    <mergeCell ref="I1:I2"/>
    <mergeCell ref="J1:J2"/>
    <mergeCell ref="K1:K2"/>
    <mergeCell ref="L1:L2"/>
    <mergeCell ref="F1:F2"/>
    <mergeCell ref="U1:U2"/>
    <mergeCell ref="B1:B2"/>
    <mergeCell ref="C1:C2"/>
    <mergeCell ref="D1:D2"/>
    <mergeCell ref="E1:E2"/>
    <mergeCell ref="G1:G2"/>
    <mergeCell ref="H1:H2"/>
    <mergeCell ref="AN1:AN2"/>
    <mergeCell ref="A1:A2"/>
    <mergeCell ref="AL1:AL2"/>
    <mergeCell ref="AM1:AM2"/>
    <mergeCell ref="AI1:AI2"/>
    <mergeCell ref="AJ1:AJ2"/>
    <mergeCell ref="Q1:Q2"/>
    <mergeCell ref="M1:M2"/>
    <mergeCell ref="R1:R2"/>
    <mergeCell ref="N1:N2"/>
    <mergeCell ref="S1:S2"/>
    <mergeCell ref="T1:T2"/>
    <mergeCell ref="O1:O2"/>
    <mergeCell ref="P1:P2"/>
  </mergeCells>
  <phoneticPr fontId="20" type="noConversion"/>
  <conditionalFormatting sqref="AJ4:AJ5">
    <cfRule type="cellIs" dxfId="3" priority="3" operator="lessThan">
      <formula>0</formula>
    </cfRule>
  </conditionalFormatting>
  <conditionalFormatting sqref="AL5:AO5">
    <cfRule type="cellIs" dxfId="2" priority="1" operator="lessThan">
      <formula>0</formula>
    </cfRule>
  </conditionalFormatting>
  <pageMargins left="0.7" right="0.7" top="0.75" bottom="0.75" header="0.3" footer="0.3"/>
  <pageSetup paperSize="8" scale="54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8BB5-46B5-4666-9A75-8BEFFD2B46FC}">
  <dimension ref="A1:L118"/>
  <sheetViews>
    <sheetView workbookViewId="0">
      <selection activeCell="K2" sqref="K2"/>
    </sheetView>
  </sheetViews>
  <sheetFormatPr defaultRowHeight="16.5"/>
  <cols>
    <col min="7" max="7" width="14.375" bestFit="1" customWidth="1"/>
    <col min="8" max="12" width="12.75" bestFit="1" customWidth="1"/>
  </cols>
  <sheetData>
    <row r="1" spans="1:12">
      <c r="A1" t="s">
        <v>144</v>
      </c>
      <c r="B1" t="s">
        <v>476</v>
      </c>
      <c r="C1" t="s">
        <v>477</v>
      </c>
      <c r="D1" t="s">
        <v>478</v>
      </c>
      <c r="E1" t="s">
        <v>479</v>
      </c>
      <c r="F1" t="s">
        <v>0</v>
      </c>
      <c r="G1" t="s">
        <v>521</v>
      </c>
      <c r="H1" t="s">
        <v>522</v>
      </c>
      <c r="I1" t="s">
        <v>523</v>
      </c>
      <c r="J1" t="s">
        <v>524</v>
      </c>
      <c r="K1" t="s">
        <v>526</v>
      </c>
      <c r="L1" t="s">
        <v>525</v>
      </c>
    </row>
    <row r="2" spans="1:12">
      <c r="A2" t="s">
        <v>146</v>
      </c>
      <c r="B2" t="s">
        <v>485</v>
      </c>
      <c r="C2" t="s">
        <v>237</v>
      </c>
      <c r="D2" t="s">
        <v>486</v>
      </c>
      <c r="E2" t="s">
        <v>487</v>
      </c>
      <c r="F2" t="s">
        <v>44</v>
      </c>
      <c r="G2" s="9">
        <v>600000000</v>
      </c>
      <c r="H2" s="9">
        <v>321589782</v>
      </c>
      <c r="I2" s="9">
        <v>278410218</v>
      </c>
      <c r="J2" s="9"/>
      <c r="K2" s="9">
        <v>278410218</v>
      </c>
      <c r="L2" s="9">
        <v>278410218</v>
      </c>
    </row>
    <row r="3" spans="1:12">
      <c r="A3" t="s">
        <v>146</v>
      </c>
      <c r="B3" t="s">
        <v>485</v>
      </c>
      <c r="C3" t="s">
        <v>237</v>
      </c>
      <c r="D3" t="s">
        <v>486</v>
      </c>
      <c r="E3" t="s">
        <v>487</v>
      </c>
      <c r="F3" t="s">
        <v>46</v>
      </c>
      <c r="G3" s="9">
        <v>238500000</v>
      </c>
      <c r="H3" s="9">
        <v>193340797</v>
      </c>
      <c r="I3" s="9">
        <v>45159203</v>
      </c>
      <c r="J3" s="9"/>
      <c r="K3" s="9">
        <v>45159203</v>
      </c>
      <c r="L3" s="9">
        <v>45159203</v>
      </c>
    </row>
    <row r="4" spans="1:12">
      <c r="A4" t="s">
        <v>146</v>
      </c>
      <c r="B4" t="s">
        <v>485</v>
      </c>
      <c r="C4" t="s">
        <v>237</v>
      </c>
      <c r="D4" t="s">
        <v>486</v>
      </c>
      <c r="E4" t="s">
        <v>487</v>
      </c>
      <c r="F4" t="s">
        <v>43</v>
      </c>
      <c r="G4" s="9">
        <v>1310400000</v>
      </c>
      <c r="H4" s="9">
        <v>792586667</v>
      </c>
      <c r="I4" s="9">
        <v>517813333</v>
      </c>
      <c r="J4" s="9">
        <v>-62192933</v>
      </c>
      <c r="K4" s="9">
        <v>455620400</v>
      </c>
      <c r="L4" s="9">
        <v>455620400</v>
      </c>
    </row>
    <row r="5" spans="1:12">
      <c r="A5" t="s">
        <v>146</v>
      </c>
      <c r="B5" t="s">
        <v>485</v>
      </c>
      <c r="C5" t="s">
        <v>237</v>
      </c>
      <c r="D5" t="s">
        <v>486</v>
      </c>
      <c r="E5" t="s">
        <v>487</v>
      </c>
      <c r="F5" t="s">
        <v>106</v>
      </c>
      <c r="G5" s="9">
        <v>30000000</v>
      </c>
      <c r="H5" s="9">
        <v>11643860</v>
      </c>
      <c r="I5" s="9">
        <v>18356140</v>
      </c>
      <c r="J5" s="9">
        <v>-3599770</v>
      </c>
      <c r="K5" s="9">
        <v>14756370</v>
      </c>
      <c r="L5" s="9">
        <v>14756370</v>
      </c>
    </row>
    <row r="6" spans="1:12">
      <c r="A6" t="s">
        <v>146</v>
      </c>
      <c r="B6" t="s">
        <v>485</v>
      </c>
      <c r="C6" t="s">
        <v>237</v>
      </c>
      <c r="D6" t="s">
        <v>486</v>
      </c>
      <c r="E6" t="s">
        <v>487</v>
      </c>
      <c r="F6" t="s">
        <v>133</v>
      </c>
      <c r="G6" s="9">
        <v>0</v>
      </c>
      <c r="H6" s="9">
        <v>9574490</v>
      </c>
      <c r="I6" s="9">
        <v>-9574490</v>
      </c>
      <c r="J6" s="9">
        <v>9574490</v>
      </c>
      <c r="K6" s="9">
        <v>0</v>
      </c>
      <c r="L6" s="9">
        <v>0</v>
      </c>
    </row>
    <row r="7" spans="1:12">
      <c r="A7" t="s">
        <v>166</v>
      </c>
      <c r="B7" t="s">
        <v>488</v>
      </c>
      <c r="C7" t="s">
        <v>489</v>
      </c>
      <c r="D7" t="s">
        <v>282</v>
      </c>
      <c r="E7" t="s">
        <v>487</v>
      </c>
      <c r="F7" t="s">
        <v>490</v>
      </c>
      <c r="G7" s="9">
        <v>0</v>
      </c>
      <c r="H7" s="9">
        <v>0</v>
      </c>
      <c r="I7" s="9">
        <v>0</v>
      </c>
      <c r="J7" s="9"/>
      <c r="K7" s="9">
        <v>0</v>
      </c>
      <c r="L7" s="9">
        <v>0</v>
      </c>
    </row>
    <row r="8" spans="1:12">
      <c r="A8" t="s">
        <v>166</v>
      </c>
      <c r="B8" t="s">
        <v>488</v>
      </c>
      <c r="C8" t="s">
        <v>489</v>
      </c>
      <c r="D8" t="s">
        <v>282</v>
      </c>
      <c r="E8" t="s">
        <v>487</v>
      </c>
      <c r="F8" t="s">
        <v>168</v>
      </c>
      <c r="G8" s="9">
        <v>97691000</v>
      </c>
      <c r="H8" s="9">
        <v>97691000</v>
      </c>
      <c r="I8" s="9">
        <v>0</v>
      </c>
      <c r="J8" s="9"/>
      <c r="K8" s="9">
        <v>0</v>
      </c>
      <c r="L8" s="9">
        <v>0</v>
      </c>
    </row>
    <row r="9" spans="1:12">
      <c r="A9" t="s">
        <v>166</v>
      </c>
      <c r="B9" t="s">
        <v>488</v>
      </c>
      <c r="C9" t="s">
        <v>489</v>
      </c>
      <c r="D9" t="s">
        <v>282</v>
      </c>
      <c r="E9" t="s">
        <v>487</v>
      </c>
      <c r="F9" t="s">
        <v>169</v>
      </c>
      <c r="G9" s="9">
        <v>3360000</v>
      </c>
      <c r="H9" s="9">
        <v>3360000</v>
      </c>
      <c r="I9" s="9">
        <v>0</v>
      </c>
      <c r="J9" s="9"/>
      <c r="K9" s="9">
        <v>0</v>
      </c>
      <c r="L9" s="9">
        <v>0</v>
      </c>
    </row>
    <row r="10" spans="1:12">
      <c r="A10" t="s">
        <v>166</v>
      </c>
      <c r="B10" t="s">
        <v>488</v>
      </c>
      <c r="C10" t="s">
        <v>489</v>
      </c>
      <c r="D10" t="s">
        <v>282</v>
      </c>
      <c r="E10" t="s">
        <v>487</v>
      </c>
      <c r="F10" t="s">
        <v>170</v>
      </c>
      <c r="G10" s="9">
        <v>9371000</v>
      </c>
      <c r="H10" s="9">
        <v>9299430</v>
      </c>
      <c r="I10" s="9">
        <v>71570</v>
      </c>
      <c r="J10" s="9"/>
      <c r="K10" s="9">
        <v>71570</v>
      </c>
      <c r="L10" s="9">
        <v>71570</v>
      </c>
    </row>
    <row r="11" spans="1:12">
      <c r="A11" t="s">
        <v>166</v>
      </c>
      <c r="B11" t="s">
        <v>491</v>
      </c>
      <c r="C11" t="s">
        <v>164</v>
      </c>
      <c r="D11" t="s">
        <v>283</v>
      </c>
      <c r="E11" t="s">
        <v>487</v>
      </c>
      <c r="F11" t="s">
        <v>46</v>
      </c>
      <c r="G11" s="9">
        <v>0</v>
      </c>
      <c r="H11" s="9">
        <v>0</v>
      </c>
      <c r="I11" s="9">
        <v>0</v>
      </c>
      <c r="J11" s="9"/>
      <c r="K11" s="9">
        <v>0</v>
      </c>
      <c r="L11" s="9">
        <v>0</v>
      </c>
    </row>
    <row r="12" spans="1:12">
      <c r="A12" t="s">
        <v>166</v>
      </c>
      <c r="B12" t="s">
        <v>491</v>
      </c>
      <c r="C12" t="s">
        <v>492</v>
      </c>
      <c r="D12" t="s">
        <v>381</v>
      </c>
      <c r="E12" t="s">
        <v>487</v>
      </c>
      <c r="F12" t="s">
        <v>44</v>
      </c>
      <c r="G12" s="9">
        <v>40000000</v>
      </c>
      <c r="H12" s="9">
        <v>20000000</v>
      </c>
      <c r="I12" s="9">
        <v>20000000</v>
      </c>
      <c r="J12" s="9"/>
      <c r="K12" s="9">
        <v>20000000</v>
      </c>
      <c r="L12" s="9">
        <v>20000000</v>
      </c>
    </row>
    <row r="13" spans="1:12">
      <c r="A13" t="s">
        <v>146</v>
      </c>
      <c r="B13" t="s">
        <v>491</v>
      </c>
      <c r="C13" t="s">
        <v>164</v>
      </c>
      <c r="D13" t="s">
        <v>257</v>
      </c>
      <c r="E13" t="s">
        <v>487</v>
      </c>
      <c r="F13" t="s">
        <v>44</v>
      </c>
      <c r="G13" s="9">
        <v>1495000000</v>
      </c>
      <c r="H13" s="9">
        <v>560000000</v>
      </c>
      <c r="I13" s="9">
        <v>935000000</v>
      </c>
      <c r="J13" s="9">
        <v>-516084790</v>
      </c>
      <c r="K13" s="9">
        <v>418915210</v>
      </c>
      <c r="L13" s="9">
        <v>418915210</v>
      </c>
    </row>
    <row r="14" spans="1:12">
      <c r="A14" t="s">
        <v>166</v>
      </c>
      <c r="B14" t="s">
        <v>491</v>
      </c>
      <c r="C14" t="s">
        <v>492</v>
      </c>
      <c r="D14" t="s">
        <v>381</v>
      </c>
      <c r="E14" t="s">
        <v>487</v>
      </c>
      <c r="F14" t="s">
        <v>43</v>
      </c>
      <c r="G14" s="9">
        <v>124800000</v>
      </c>
      <c r="H14" s="9">
        <v>115200000</v>
      </c>
      <c r="I14" s="9">
        <v>9600000</v>
      </c>
      <c r="J14" s="9"/>
      <c r="K14" s="9">
        <v>9600000</v>
      </c>
      <c r="L14" s="9">
        <v>9600000</v>
      </c>
    </row>
    <row r="15" spans="1:12">
      <c r="A15" t="s">
        <v>166</v>
      </c>
      <c r="B15" t="s">
        <v>491</v>
      </c>
      <c r="C15" t="s">
        <v>492</v>
      </c>
      <c r="D15" t="s">
        <v>381</v>
      </c>
      <c r="E15" t="s">
        <v>487</v>
      </c>
      <c r="F15" t="s">
        <v>46</v>
      </c>
      <c r="G15" s="9">
        <v>10000000</v>
      </c>
      <c r="H15" s="9">
        <v>7292830</v>
      </c>
      <c r="I15" s="9">
        <v>2707170</v>
      </c>
      <c r="J15" s="9"/>
      <c r="K15" s="9">
        <v>2707170</v>
      </c>
      <c r="L15" s="9">
        <v>2707170</v>
      </c>
    </row>
    <row r="16" spans="1:12">
      <c r="A16" t="s">
        <v>166</v>
      </c>
      <c r="B16" t="s">
        <v>440</v>
      </c>
      <c r="C16" t="s">
        <v>493</v>
      </c>
      <c r="D16" t="s">
        <v>494</v>
      </c>
      <c r="E16" t="s">
        <v>487</v>
      </c>
      <c r="F16" t="s">
        <v>100</v>
      </c>
      <c r="G16" s="9">
        <v>10100000</v>
      </c>
      <c r="H16" s="9">
        <v>10550000</v>
      </c>
      <c r="I16" s="9">
        <v>-450000</v>
      </c>
      <c r="J16" s="9">
        <v>450000</v>
      </c>
      <c r="K16" s="9">
        <v>0</v>
      </c>
      <c r="L16" s="9">
        <v>0</v>
      </c>
    </row>
    <row r="17" spans="1:12">
      <c r="A17" t="s">
        <v>166</v>
      </c>
      <c r="B17" t="s">
        <v>440</v>
      </c>
      <c r="C17" t="s">
        <v>493</v>
      </c>
      <c r="D17" t="s">
        <v>494</v>
      </c>
      <c r="E17" t="s">
        <v>487</v>
      </c>
      <c r="F17" t="s">
        <v>45</v>
      </c>
      <c r="G17" s="9">
        <v>9700000</v>
      </c>
      <c r="H17" s="9">
        <v>8699414</v>
      </c>
      <c r="I17" s="9">
        <v>1000586</v>
      </c>
      <c r="J17" s="9"/>
      <c r="K17" s="9">
        <v>1000586</v>
      </c>
      <c r="L17" s="9">
        <v>1000586</v>
      </c>
    </row>
    <row r="18" spans="1:12">
      <c r="A18" t="s">
        <v>166</v>
      </c>
      <c r="B18" t="s">
        <v>440</v>
      </c>
      <c r="C18" t="s">
        <v>493</v>
      </c>
      <c r="D18" t="s">
        <v>494</v>
      </c>
      <c r="E18" t="s">
        <v>487</v>
      </c>
      <c r="F18" t="s">
        <v>43</v>
      </c>
      <c r="G18" s="9">
        <v>7200000</v>
      </c>
      <c r="H18" s="9">
        <v>6400000</v>
      </c>
      <c r="I18" s="9">
        <v>800000</v>
      </c>
      <c r="J18" s="9"/>
      <c r="K18" s="9">
        <v>800000</v>
      </c>
      <c r="L18" s="9">
        <v>800000</v>
      </c>
    </row>
    <row r="19" spans="1:12">
      <c r="A19" t="s">
        <v>166</v>
      </c>
      <c r="B19" t="s">
        <v>440</v>
      </c>
      <c r="C19" t="s">
        <v>493</v>
      </c>
      <c r="D19" t="s">
        <v>494</v>
      </c>
      <c r="E19" t="s">
        <v>487</v>
      </c>
      <c r="F19" t="s">
        <v>106</v>
      </c>
      <c r="G19" s="9">
        <v>1500000</v>
      </c>
      <c r="H19" s="9">
        <v>1500000</v>
      </c>
      <c r="I19" s="9">
        <v>0</v>
      </c>
      <c r="J19" s="9"/>
      <c r="K19" s="9">
        <v>0</v>
      </c>
      <c r="L19" s="9">
        <v>0</v>
      </c>
    </row>
    <row r="20" spans="1:12">
      <c r="A20" t="s">
        <v>146</v>
      </c>
      <c r="B20" t="s">
        <v>491</v>
      </c>
      <c r="C20" t="s">
        <v>164</v>
      </c>
      <c r="D20" t="s">
        <v>257</v>
      </c>
      <c r="E20" t="s">
        <v>487</v>
      </c>
      <c r="F20" t="s">
        <v>133</v>
      </c>
      <c r="G20" s="9">
        <v>50000000</v>
      </c>
      <c r="H20" s="9">
        <v>51467600</v>
      </c>
      <c r="I20" s="9">
        <v>-1467600</v>
      </c>
      <c r="J20" s="9">
        <v>1467600</v>
      </c>
      <c r="K20" s="9">
        <v>0</v>
      </c>
      <c r="L20" s="9">
        <v>0</v>
      </c>
    </row>
    <row r="21" spans="1:12">
      <c r="A21" t="s">
        <v>146</v>
      </c>
      <c r="B21" t="s">
        <v>491</v>
      </c>
      <c r="C21" t="s">
        <v>468</v>
      </c>
      <c r="D21" t="s">
        <v>451</v>
      </c>
      <c r="E21" t="s">
        <v>487</v>
      </c>
      <c r="F21" t="s">
        <v>106</v>
      </c>
      <c r="G21" s="9">
        <v>10000000</v>
      </c>
      <c r="H21" s="9">
        <v>13599770</v>
      </c>
      <c r="I21" s="9">
        <v>-3599770</v>
      </c>
      <c r="J21" s="9">
        <v>3599770</v>
      </c>
      <c r="K21" s="9">
        <v>0</v>
      </c>
      <c r="L21" s="9">
        <v>0</v>
      </c>
    </row>
    <row r="22" spans="1:12">
      <c r="A22" t="s">
        <v>166</v>
      </c>
      <c r="B22" t="s">
        <v>495</v>
      </c>
      <c r="C22" t="s">
        <v>496</v>
      </c>
      <c r="D22" t="s">
        <v>283</v>
      </c>
      <c r="E22" t="s">
        <v>487</v>
      </c>
      <c r="F22" t="s">
        <v>497</v>
      </c>
      <c r="G22" s="9">
        <v>181936000</v>
      </c>
      <c r="H22" s="9">
        <v>181935483</v>
      </c>
      <c r="I22" s="9">
        <v>517</v>
      </c>
      <c r="J22" s="9"/>
      <c r="K22" s="9">
        <v>517</v>
      </c>
      <c r="L22" s="9">
        <v>517</v>
      </c>
    </row>
    <row r="23" spans="1:12">
      <c r="A23" t="s">
        <v>166</v>
      </c>
      <c r="B23" t="s">
        <v>495</v>
      </c>
      <c r="C23" t="s">
        <v>496</v>
      </c>
      <c r="D23" t="s">
        <v>283</v>
      </c>
      <c r="E23" t="s">
        <v>487</v>
      </c>
      <c r="F23" t="s">
        <v>329</v>
      </c>
      <c r="G23" s="9">
        <v>19708000</v>
      </c>
      <c r="H23" s="9">
        <v>19707990</v>
      </c>
      <c r="I23" s="9">
        <v>10</v>
      </c>
      <c r="J23" s="9"/>
      <c r="K23" s="9">
        <v>10</v>
      </c>
      <c r="L23" s="9">
        <v>10</v>
      </c>
    </row>
    <row r="24" spans="1:12">
      <c r="A24" t="s">
        <v>166</v>
      </c>
      <c r="B24" t="s">
        <v>495</v>
      </c>
      <c r="C24" t="s">
        <v>496</v>
      </c>
      <c r="D24" t="s">
        <v>283</v>
      </c>
      <c r="E24" t="s">
        <v>487</v>
      </c>
      <c r="F24" t="s">
        <v>490</v>
      </c>
      <c r="G24" s="9">
        <v>9000000</v>
      </c>
      <c r="H24" s="9">
        <v>9000000</v>
      </c>
      <c r="I24" s="9">
        <v>0</v>
      </c>
      <c r="J24" s="9"/>
      <c r="K24" s="9">
        <v>0</v>
      </c>
      <c r="L24" s="9">
        <v>0</v>
      </c>
    </row>
    <row r="25" spans="1:12">
      <c r="A25" t="s">
        <v>181</v>
      </c>
      <c r="B25" t="s">
        <v>441</v>
      </c>
      <c r="C25" t="s">
        <v>235</v>
      </c>
      <c r="D25" t="s">
        <v>430</v>
      </c>
      <c r="E25" t="s">
        <v>487</v>
      </c>
      <c r="F25" t="s">
        <v>44</v>
      </c>
      <c r="G25" s="9">
        <v>53420000</v>
      </c>
      <c r="H25" s="9">
        <v>40600000</v>
      </c>
      <c r="I25" s="9">
        <v>12820000</v>
      </c>
      <c r="J25" s="9"/>
      <c r="K25" s="9">
        <v>12820000</v>
      </c>
      <c r="L25" s="9">
        <v>12820000</v>
      </c>
    </row>
    <row r="26" spans="1:12">
      <c r="A26" t="s">
        <v>181</v>
      </c>
      <c r="B26" t="s">
        <v>441</v>
      </c>
      <c r="C26" t="s">
        <v>235</v>
      </c>
      <c r="D26" t="s">
        <v>430</v>
      </c>
      <c r="E26" t="s">
        <v>487</v>
      </c>
      <c r="F26" t="s">
        <v>46</v>
      </c>
      <c r="G26" s="9">
        <v>42284000</v>
      </c>
      <c r="H26" s="9">
        <v>40376000</v>
      </c>
      <c r="I26" s="9">
        <v>1908000</v>
      </c>
      <c r="J26" s="9"/>
      <c r="K26" s="9">
        <v>1908000</v>
      </c>
      <c r="L26" s="9">
        <v>1908000</v>
      </c>
    </row>
    <row r="27" spans="1:12">
      <c r="A27" t="s">
        <v>181</v>
      </c>
      <c r="B27" t="s">
        <v>441</v>
      </c>
      <c r="C27" t="s">
        <v>235</v>
      </c>
      <c r="D27" t="s">
        <v>430</v>
      </c>
      <c r="E27" t="s">
        <v>442</v>
      </c>
      <c r="F27" t="s">
        <v>46</v>
      </c>
      <c r="G27" s="9">
        <v>44176000</v>
      </c>
      <c r="H27" s="9">
        <v>44176000</v>
      </c>
      <c r="I27" s="9">
        <v>0</v>
      </c>
      <c r="J27" s="9"/>
      <c r="K27" s="9">
        <v>0</v>
      </c>
      <c r="L27" s="9">
        <v>0</v>
      </c>
    </row>
    <row r="28" spans="1:12">
      <c r="A28" t="s">
        <v>181</v>
      </c>
      <c r="B28" t="s">
        <v>441</v>
      </c>
      <c r="C28" t="s">
        <v>235</v>
      </c>
      <c r="D28" t="s">
        <v>430</v>
      </c>
      <c r="E28" t="s">
        <v>443</v>
      </c>
      <c r="F28" t="s">
        <v>46</v>
      </c>
      <c r="G28" s="9">
        <v>45952000</v>
      </c>
      <c r="H28" s="9">
        <v>45952000</v>
      </c>
      <c r="I28" s="9">
        <v>0</v>
      </c>
      <c r="J28" s="9"/>
      <c r="K28" s="9">
        <v>0</v>
      </c>
      <c r="L28" s="9">
        <v>0</v>
      </c>
    </row>
    <row r="29" spans="1:12">
      <c r="A29" t="s">
        <v>181</v>
      </c>
      <c r="B29" t="s">
        <v>441</v>
      </c>
      <c r="C29" t="s">
        <v>235</v>
      </c>
      <c r="D29" t="s">
        <v>430</v>
      </c>
      <c r="E29" t="s">
        <v>444</v>
      </c>
      <c r="F29" t="s">
        <v>46</v>
      </c>
      <c r="G29" s="9">
        <v>22060000</v>
      </c>
      <c r="H29" s="9">
        <v>22060000</v>
      </c>
      <c r="I29" s="9">
        <v>0</v>
      </c>
      <c r="J29" s="9"/>
      <c r="K29" s="9">
        <v>0</v>
      </c>
      <c r="L29" s="9">
        <v>0</v>
      </c>
    </row>
    <row r="30" spans="1:12">
      <c r="A30" t="s">
        <v>181</v>
      </c>
      <c r="B30" t="s">
        <v>441</v>
      </c>
      <c r="C30" t="s">
        <v>235</v>
      </c>
      <c r="D30" t="s">
        <v>430</v>
      </c>
      <c r="E30" t="s">
        <v>445</v>
      </c>
      <c r="F30" t="s">
        <v>46</v>
      </c>
      <c r="G30" s="9">
        <v>14892000</v>
      </c>
      <c r="H30" s="9">
        <v>14892000</v>
      </c>
      <c r="I30" s="9">
        <v>0</v>
      </c>
      <c r="J30" s="9"/>
      <c r="K30" s="9">
        <v>0</v>
      </c>
      <c r="L30" s="9">
        <v>0</v>
      </c>
    </row>
    <row r="31" spans="1:12">
      <c r="A31" t="s">
        <v>181</v>
      </c>
      <c r="B31" t="s">
        <v>441</v>
      </c>
      <c r="C31" t="s">
        <v>235</v>
      </c>
      <c r="D31" t="s">
        <v>430</v>
      </c>
      <c r="E31" t="s">
        <v>446</v>
      </c>
      <c r="F31" t="s">
        <v>46</v>
      </c>
      <c r="G31" s="9">
        <v>46476000</v>
      </c>
      <c r="H31" s="9">
        <v>46476000</v>
      </c>
      <c r="I31" s="9">
        <v>0</v>
      </c>
      <c r="J31" s="9"/>
      <c r="K31" s="9">
        <v>0</v>
      </c>
      <c r="L31" s="9">
        <v>0</v>
      </c>
    </row>
    <row r="32" spans="1:12">
      <c r="A32" t="s">
        <v>181</v>
      </c>
      <c r="B32" t="s">
        <v>441</v>
      </c>
      <c r="C32" t="s">
        <v>235</v>
      </c>
      <c r="D32" t="s">
        <v>430</v>
      </c>
      <c r="E32" t="s">
        <v>447</v>
      </c>
      <c r="F32" t="s">
        <v>46</v>
      </c>
      <c r="G32" s="9">
        <v>7796000</v>
      </c>
      <c r="H32" s="9">
        <v>7796000</v>
      </c>
      <c r="I32" s="9">
        <v>0</v>
      </c>
      <c r="J32" s="9"/>
      <c r="K32" s="9">
        <v>0</v>
      </c>
      <c r="L32" s="9">
        <v>0</v>
      </c>
    </row>
    <row r="33" spans="1:12">
      <c r="A33" t="s">
        <v>181</v>
      </c>
      <c r="B33" t="s">
        <v>441</v>
      </c>
      <c r="C33" t="s">
        <v>235</v>
      </c>
      <c r="D33" t="s">
        <v>430</v>
      </c>
      <c r="E33" t="s">
        <v>448</v>
      </c>
      <c r="F33" t="s">
        <v>46</v>
      </c>
      <c r="G33" s="9">
        <v>5364000</v>
      </c>
      <c r="H33" s="9">
        <v>5364000</v>
      </c>
      <c r="I33" s="9">
        <v>0</v>
      </c>
      <c r="J33" s="9"/>
      <c r="K33" s="9">
        <v>0</v>
      </c>
      <c r="L33" s="9">
        <v>0</v>
      </c>
    </row>
    <row r="34" spans="1:12">
      <c r="A34" t="s">
        <v>181</v>
      </c>
      <c r="B34" t="s">
        <v>441</v>
      </c>
      <c r="C34" t="s">
        <v>235</v>
      </c>
      <c r="D34" t="s">
        <v>430</v>
      </c>
      <c r="E34" t="s">
        <v>498</v>
      </c>
      <c r="F34" t="s">
        <v>46</v>
      </c>
      <c r="G34" s="9">
        <v>1000000</v>
      </c>
      <c r="H34" s="9">
        <v>1000000</v>
      </c>
      <c r="I34" s="9">
        <v>0</v>
      </c>
      <c r="J34" s="9"/>
      <c r="K34" s="9">
        <v>0</v>
      </c>
      <c r="L34" s="9">
        <v>0</v>
      </c>
    </row>
    <row r="35" spans="1:12">
      <c r="A35" t="s">
        <v>181</v>
      </c>
      <c r="B35" t="s">
        <v>441</v>
      </c>
      <c r="C35" t="s">
        <v>235</v>
      </c>
      <c r="D35" t="s">
        <v>430</v>
      </c>
      <c r="E35" t="s">
        <v>487</v>
      </c>
      <c r="F35" t="s">
        <v>43</v>
      </c>
      <c r="G35" s="9">
        <v>68523000</v>
      </c>
      <c r="H35" s="9">
        <v>63723000</v>
      </c>
      <c r="I35" s="9">
        <v>4800000</v>
      </c>
      <c r="J35" s="9"/>
      <c r="K35" s="9">
        <v>4800000</v>
      </c>
      <c r="L35" s="9">
        <v>4800000</v>
      </c>
    </row>
    <row r="36" spans="1:12">
      <c r="A36" t="s">
        <v>181</v>
      </c>
      <c r="B36" t="s">
        <v>441</v>
      </c>
      <c r="C36" t="s">
        <v>235</v>
      </c>
      <c r="D36" t="s">
        <v>430</v>
      </c>
      <c r="E36" t="s">
        <v>443</v>
      </c>
      <c r="F36" t="s">
        <v>43</v>
      </c>
      <c r="G36" s="9">
        <v>43200000</v>
      </c>
      <c r="H36" s="9">
        <v>43200000</v>
      </c>
      <c r="I36" s="9">
        <v>0</v>
      </c>
      <c r="J36" s="9"/>
      <c r="K36" s="9">
        <v>0</v>
      </c>
      <c r="L36" s="9">
        <v>0</v>
      </c>
    </row>
    <row r="37" spans="1:12">
      <c r="A37" t="s">
        <v>181</v>
      </c>
      <c r="B37" t="s">
        <v>441</v>
      </c>
      <c r="C37" t="s">
        <v>235</v>
      </c>
      <c r="D37" t="s">
        <v>430</v>
      </c>
      <c r="E37" t="s">
        <v>445</v>
      </c>
      <c r="F37" t="s">
        <v>43</v>
      </c>
      <c r="G37" s="9">
        <v>21600000</v>
      </c>
      <c r="H37" s="9">
        <v>21600000</v>
      </c>
      <c r="I37" s="9">
        <v>0</v>
      </c>
      <c r="J37" s="9"/>
      <c r="K37" s="9">
        <v>0</v>
      </c>
      <c r="L37" s="9">
        <v>0</v>
      </c>
    </row>
    <row r="38" spans="1:12">
      <c r="A38" t="s">
        <v>181</v>
      </c>
      <c r="B38" t="s">
        <v>441</v>
      </c>
      <c r="C38" t="s">
        <v>235</v>
      </c>
      <c r="D38" t="s">
        <v>430</v>
      </c>
      <c r="E38" t="s">
        <v>487</v>
      </c>
      <c r="F38" t="s">
        <v>45</v>
      </c>
      <c r="G38" s="9">
        <v>15000000</v>
      </c>
      <c r="H38" s="9">
        <v>15000000</v>
      </c>
      <c r="I38" s="9">
        <v>0</v>
      </c>
      <c r="J38" s="9"/>
      <c r="K38" s="9">
        <v>0</v>
      </c>
      <c r="L38" s="9">
        <v>0</v>
      </c>
    </row>
    <row r="39" spans="1:12">
      <c r="A39" t="s">
        <v>181</v>
      </c>
      <c r="B39" t="s">
        <v>441</v>
      </c>
      <c r="C39" t="s">
        <v>235</v>
      </c>
      <c r="D39" t="s">
        <v>430</v>
      </c>
      <c r="E39" t="s">
        <v>487</v>
      </c>
      <c r="F39" t="s">
        <v>133</v>
      </c>
      <c r="G39" s="9">
        <v>19000000</v>
      </c>
      <c r="H39" s="9">
        <v>5000000</v>
      </c>
      <c r="I39" s="9">
        <v>14000000</v>
      </c>
      <c r="J39" s="9">
        <v>-14000000</v>
      </c>
      <c r="K39" s="9">
        <v>0</v>
      </c>
      <c r="L39" s="9">
        <v>0</v>
      </c>
    </row>
    <row r="40" spans="1:12">
      <c r="A40" t="s">
        <v>181</v>
      </c>
      <c r="B40" t="s">
        <v>441</v>
      </c>
      <c r="C40" t="s">
        <v>235</v>
      </c>
      <c r="D40" t="s">
        <v>430</v>
      </c>
      <c r="E40" t="s">
        <v>487</v>
      </c>
      <c r="F40" t="s">
        <v>106</v>
      </c>
      <c r="G40" s="9">
        <v>10000000</v>
      </c>
      <c r="H40" s="9">
        <v>4470930</v>
      </c>
      <c r="I40" s="9">
        <v>5529070</v>
      </c>
      <c r="J40" s="9"/>
      <c r="K40" s="9">
        <v>5529070</v>
      </c>
      <c r="L40" s="9">
        <v>5529070</v>
      </c>
    </row>
    <row r="41" spans="1:12">
      <c r="A41" t="s">
        <v>192</v>
      </c>
      <c r="B41" t="s">
        <v>499</v>
      </c>
      <c r="C41" t="s">
        <v>190</v>
      </c>
      <c r="D41" t="s">
        <v>268</v>
      </c>
      <c r="E41" t="s">
        <v>487</v>
      </c>
      <c r="F41" t="s">
        <v>191</v>
      </c>
      <c r="G41" s="9">
        <v>188179000</v>
      </c>
      <c r="H41" s="9">
        <v>162689000</v>
      </c>
      <c r="I41" s="9">
        <v>25490000</v>
      </c>
      <c r="J41" s="9">
        <v>-11945790</v>
      </c>
      <c r="K41" s="9">
        <v>13544210</v>
      </c>
      <c r="L41" s="9">
        <v>13544210</v>
      </c>
    </row>
    <row r="42" spans="1:12">
      <c r="A42" t="s">
        <v>192</v>
      </c>
      <c r="B42" t="s">
        <v>499</v>
      </c>
      <c r="C42" t="s">
        <v>190</v>
      </c>
      <c r="D42" t="s">
        <v>268</v>
      </c>
      <c r="E42" t="s">
        <v>487</v>
      </c>
      <c r="F42" t="s">
        <v>100</v>
      </c>
      <c r="G42" s="9">
        <v>88500000</v>
      </c>
      <c r="H42" s="9">
        <v>95800000</v>
      </c>
      <c r="I42" s="9">
        <v>-7300000</v>
      </c>
      <c r="J42" s="9">
        <v>7300000</v>
      </c>
      <c r="K42" s="9">
        <v>0</v>
      </c>
      <c r="L42" s="9">
        <v>0</v>
      </c>
    </row>
    <row r="43" spans="1:12">
      <c r="A43" t="s">
        <v>192</v>
      </c>
      <c r="B43" t="s">
        <v>499</v>
      </c>
      <c r="C43" t="s">
        <v>190</v>
      </c>
      <c r="D43" t="s">
        <v>268</v>
      </c>
      <c r="E43" t="s">
        <v>487</v>
      </c>
      <c r="F43" t="s">
        <v>43</v>
      </c>
      <c r="G43" s="9">
        <v>6450000</v>
      </c>
      <c r="H43" s="9">
        <v>9565000</v>
      </c>
      <c r="I43" s="9">
        <v>-3115000</v>
      </c>
      <c r="J43" s="9">
        <v>3115000</v>
      </c>
      <c r="K43" s="9">
        <v>0</v>
      </c>
      <c r="L43" s="9">
        <v>0</v>
      </c>
    </row>
    <row r="44" spans="1:12">
      <c r="A44" t="s">
        <v>192</v>
      </c>
      <c r="B44" t="s">
        <v>499</v>
      </c>
      <c r="C44" t="s">
        <v>190</v>
      </c>
      <c r="D44" t="s">
        <v>268</v>
      </c>
      <c r="E44" t="s">
        <v>487</v>
      </c>
      <c r="F44" t="s">
        <v>132</v>
      </c>
      <c r="G44" s="9">
        <v>1800000</v>
      </c>
      <c r="H44" s="9">
        <v>1000000</v>
      </c>
      <c r="I44" s="9">
        <v>800000</v>
      </c>
      <c r="J44" s="9"/>
      <c r="K44" s="9">
        <v>800000</v>
      </c>
      <c r="L44" s="9">
        <v>800000</v>
      </c>
    </row>
    <row r="45" spans="1:12">
      <c r="A45" t="s">
        <v>192</v>
      </c>
      <c r="B45" t="s">
        <v>499</v>
      </c>
      <c r="C45" t="s">
        <v>190</v>
      </c>
      <c r="D45" t="s">
        <v>268</v>
      </c>
      <c r="E45" t="s">
        <v>487</v>
      </c>
      <c r="F45" t="s">
        <v>45</v>
      </c>
      <c r="G45" s="9">
        <v>1600000</v>
      </c>
      <c r="H45" s="9">
        <v>900000</v>
      </c>
      <c r="I45" s="9">
        <v>700000</v>
      </c>
      <c r="J45" s="9"/>
      <c r="K45" s="9">
        <v>700000</v>
      </c>
      <c r="L45" s="9">
        <v>700000</v>
      </c>
    </row>
    <row r="46" spans="1:12">
      <c r="A46" t="s">
        <v>166</v>
      </c>
      <c r="B46" t="s">
        <v>449</v>
      </c>
      <c r="C46" t="s">
        <v>194</v>
      </c>
      <c r="D46" t="s">
        <v>283</v>
      </c>
      <c r="E46" t="s">
        <v>487</v>
      </c>
      <c r="F46" t="s">
        <v>195</v>
      </c>
      <c r="G46" s="9">
        <v>100000000</v>
      </c>
      <c r="H46" s="9">
        <v>10842400</v>
      </c>
      <c r="I46" s="9">
        <v>89157600</v>
      </c>
      <c r="J46" s="9">
        <v>-17941000</v>
      </c>
      <c r="K46" s="9">
        <v>71216600</v>
      </c>
      <c r="L46" s="9">
        <v>71216600</v>
      </c>
    </row>
    <row r="47" spans="1:12">
      <c r="A47" t="s">
        <v>166</v>
      </c>
      <c r="B47" t="s">
        <v>449</v>
      </c>
      <c r="C47" t="s">
        <v>194</v>
      </c>
      <c r="D47" t="s">
        <v>283</v>
      </c>
      <c r="E47" t="s">
        <v>487</v>
      </c>
      <c r="F47" t="s">
        <v>46</v>
      </c>
      <c r="G47" s="9">
        <v>170</v>
      </c>
      <c r="H47" s="9">
        <v>0</v>
      </c>
      <c r="I47" s="9">
        <v>170</v>
      </c>
      <c r="J47" s="9"/>
      <c r="K47" s="9">
        <v>170</v>
      </c>
      <c r="L47" s="9">
        <v>170</v>
      </c>
    </row>
    <row r="48" spans="1:12">
      <c r="A48" t="s">
        <v>166</v>
      </c>
      <c r="B48" t="s">
        <v>449</v>
      </c>
      <c r="C48" t="s">
        <v>194</v>
      </c>
      <c r="D48" t="s">
        <v>283</v>
      </c>
      <c r="E48" t="s">
        <v>450</v>
      </c>
      <c r="F48" t="s">
        <v>46</v>
      </c>
      <c r="G48" s="9">
        <v>130701830</v>
      </c>
      <c r="H48" s="9">
        <v>100284340</v>
      </c>
      <c r="I48" s="9">
        <v>30417490</v>
      </c>
      <c r="J48" s="9"/>
      <c r="K48" s="9">
        <v>30417490</v>
      </c>
      <c r="L48" s="9">
        <v>30417490</v>
      </c>
    </row>
    <row r="49" spans="1:12">
      <c r="A49" t="s">
        <v>166</v>
      </c>
      <c r="B49" t="s">
        <v>449</v>
      </c>
      <c r="C49" t="s">
        <v>194</v>
      </c>
      <c r="D49" t="s">
        <v>283</v>
      </c>
      <c r="E49" t="s">
        <v>487</v>
      </c>
      <c r="F49" t="s">
        <v>44</v>
      </c>
      <c r="G49" s="9">
        <v>35000000</v>
      </c>
      <c r="H49" s="9">
        <v>32912000</v>
      </c>
      <c r="I49" s="9">
        <v>2088000</v>
      </c>
      <c r="J49" s="9"/>
      <c r="K49" s="9">
        <v>2088000</v>
      </c>
      <c r="L49" s="9">
        <v>2088000</v>
      </c>
    </row>
    <row r="50" spans="1:12">
      <c r="A50" t="s">
        <v>166</v>
      </c>
      <c r="B50" t="s">
        <v>449</v>
      </c>
      <c r="C50" t="s">
        <v>194</v>
      </c>
      <c r="D50" t="s">
        <v>283</v>
      </c>
      <c r="E50" t="s">
        <v>487</v>
      </c>
      <c r="F50" t="s">
        <v>43</v>
      </c>
      <c r="G50" s="9">
        <v>0</v>
      </c>
      <c r="H50" s="9">
        <v>0</v>
      </c>
      <c r="I50" s="9">
        <v>0</v>
      </c>
      <c r="J50" s="9"/>
      <c r="K50" s="9">
        <v>0</v>
      </c>
      <c r="L50" s="9">
        <v>0</v>
      </c>
    </row>
    <row r="51" spans="1:12">
      <c r="A51" t="s">
        <v>166</v>
      </c>
      <c r="B51" t="s">
        <v>449</v>
      </c>
      <c r="C51" t="s">
        <v>194</v>
      </c>
      <c r="D51" t="s">
        <v>283</v>
      </c>
      <c r="E51" t="s">
        <v>450</v>
      </c>
      <c r="F51" t="s">
        <v>43</v>
      </c>
      <c r="G51" s="9">
        <v>52620000</v>
      </c>
      <c r="H51" s="9">
        <v>34130730</v>
      </c>
      <c r="I51" s="9">
        <v>18489270</v>
      </c>
      <c r="J51" s="9"/>
      <c r="K51" s="9">
        <v>18489270</v>
      </c>
      <c r="L51" s="9">
        <v>18489270</v>
      </c>
    </row>
    <row r="52" spans="1:12">
      <c r="A52" t="s">
        <v>166</v>
      </c>
      <c r="B52" t="s">
        <v>449</v>
      </c>
      <c r="C52" t="s">
        <v>194</v>
      </c>
      <c r="D52" t="s">
        <v>283</v>
      </c>
      <c r="E52" t="s">
        <v>487</v>
      </c>
      <c r="F52" t="s">
        <v>100</v>
      </c>
      <c r="G52" s="9">
        <v>3221</v>
      </c>
      <c r="H52" s="9">
        <v>0</v>
      </c>
      <c r="I52" s="9">
        <v>3221</v>
      </c>
      <c r="J52" s="9"/>
      <c r="K52" s="9">
        <v>3221</v>
      </c>
      <c r="L52" s="9">
        <v>3221</v>
      </c>
    </row>
    <row r="53" spans="1:12">
      <c r="A53" t="s">
        <v>166</v>
      </c>
      <c r="B53" t="s">
        <v>449</v>
      </c>
      <c r="C53" t="s">
        <v>194</v>
      </c>
      <c r="D53" t="s">
        <v>283</v>
      </c>
      <c r="E53" t="s">
        <v>450</v>
      </c>
      <c r="F53" t="s">
        <v>100</v>
      </c>
      <c r="G53" s="9">
        <v>105226779</v>
      </c>
      <c r="H53" s="9">
        <v>73746779</v>
      </c>
      <c r="I53" s="9">
        <v>31480000</v>
      </c>
      <c r="J53" s="9">
        <v>-7300000</v>
      </c>
      <c r="K53" s="9">
        <v>24180000</v>
      </c>
      <c r="L53" s="9">
        <v>24180000</v>
      </c>
    </row>
    <row r="54" spans="1:12">
      <c r="A54" t="s">
        <v>166</v>
      </c>
      <c r="B54" t="s">
        <v>491</v>
      </c>
      <c r="C54" t="s">
        <v>500</v>
      </c>
      <c r="D54" t="s">
        <v>381</v>
      </c>
      <c r="E54" t="s">
        <v>487</v>
      </c>
      <c r="F54" t="s">
        <v>106</v>
      </c>
      <c r="G54" s="9">
        <v>3500000</v>
      </c>
      <c r="H54" s="9">
        <v>2304650</v>
      </c>
      <c r="I54" s="9">
        <v>1195350</v>
      </c>
      <c r="J54" s="9"/>
      <c r="K54" s="9">
        <v>1195350</v>
      </c>
      <c r="L54" s="9">
        <v>1195350</v>
      </c>
    </row>
    <row r="55" spans="1:12">
      <c r="A55" t="s">
        <v>166</v>
      </c>
      <c r="B55" t="s">
        <v>449</v>
      </c>
      <c r="C55" t="s">
        <v>194</v>
      </c>
      <c r="D55" t="s">
        <v>283</v>
      </c>
      <c r="E55" t="s">
        <v>487</v>
      </c>
      <c r="F55" t="s">
        <v>106</v>
      </c>
      <c r="G55" s="9">
        <v>2000000</v>
      </c>
      <c r="H55" s="9">
        <v>1335491</v>
      </c>
      <c r="I55" s="9">
        <v>664509</v>
      </c>
      <c r="J55" s="9"/>
      <c r="K55" s="9">
        <v>664509</v>
      </c>
      <c r="L55" s="9">
        <v>664509</v>
      </c>
    </row>
    <row r="56" spans="1:12">
      <c r="A56" t="s">
        <v>192</v>
      </c>
      <c r="B56" t="s">
        <v>501</v>
      </c>
      <c r="C56" t="s">
        <v>200</v>
      </c>
      <c r="D56" t="s">
        <v>270</v>
      </c>
      <c r="E56" t="s">
        <v>487</v>
      </c>
      <c r="F56" t="s">
        <v>44</v>
      </c>
      <c r="G56" s="9">
        <v>0</v>
      </c>
      <c r="H56" s="9">
        <v>0</v>
      </c>
      <c r="I56" s="9">
        <v>0</v>
      </c>
      <c r="J56" s="9"/>
      <c r="K56" s="9">
        <v>0</v>
      </c>
      <c r="L56" s="9">
        <v>0</v>
      </c>
    </row>
    <row r="57" spans="1:12">
      <c r="A57" t="s">
        <v>192</v>
      </c>
      <c r="B57" t="s">
        <v>501</v>
      </c>
      <c r="C57" t="s">
        <v>200</v>
      </c>
      <c r="D57" t="s">
        <v>270</v>
      </c>
      <c r="E57" t="s">
        <v>487</v>
      </c>
      <c r="F57" t="s">
        <v>46</v>
      </c>
      <c r="G57" s="9">
        <v>81767000</v>
      </c>
      <c r="H57" s="9">
        <v>51213900</v>
      </c>
      <c r="I57" s="9">
        <v>30553100</v>
      </c>
      <c r="J57" s="9"/>
      <c r="K57" s="9">
        <v>30553100</v>
      </c>
      <c r="L57" s="9">
        <v>30553100</v>
      </c>
    </row>
    <row r="58" spans="1:12">
      <c r="A58" t="s">
        <v>192</v>
      </c>
      <c r="B58" t="s">
        <v>501</v>
      </c>
      <c r="C58" t="s">
        <v>200</v>
      </c>
      <c r="D58" t="s">
        <v>270</v>
      </c>
      <c r="E58" t="s">
        <v>487</v>
      </c>
      <c r="F58" t="s">
        <v>43</v>
      </c>
      <c r="G58" s="9">
        <v>114400000</v>
      </c>
      <c r="H58" s="9">
        <v>100800000</v>
      </c>
      <c r="I58" s="9">
        <v>13600000</v>
      </c>
      <c r="J58" s="9">
        <v>-3115000</v>
      </c>
      <c r="K58" s="9">
        <v>10485000</v>
      </c>
      <c r="L58" s="9">
        <v>10485000</v>
      </c>
    </row>
    <row r="59" spans="1:12">
      <c r="A59" t="s">
        <v>192</v>
      </c>
      <c r="B59" t="s">
        <v>501</v>
      </c>
      <c r="C59" t="s">
        <v>200</v>
      </c>
      <c r="D59" t="s">
        <v>270</v>
      </c>
      <c r="E59" t="s">
        <v>487</v>
      </c>
      <c r="F59" t="s">
        <v>106</v>
      </c>
      <c r="G59" s="9">
        <v>5000000</v>
      </c>
      <c r="H59" s="9">
        <v>1460600</v>
      </c>
      <c r="I59" s="9">
        <v>3539400</v>
      </c>
      <c r="J59" s="9"/>
      <c r="K59" s="9">
        <v>3539400</v>
      </c>
      <c r="L59" s="9">
        <v>3539400</v>
      </c>
    </row>
    <row r="60" spans="1:12">
      <c r="A60" t="s">
        <v>192</v>
      </c>
      <c r="B60" t="s">
        <v>440</v>
      </c>
      <c r="C60" t="s">
        <v>502</v>
      </c>
      <c r="D60" t="s">
        <v>271</v>
      </c>
      <c r="E60" t="s">
        <v>487</v>
      </c>
      <c r="F60" t="s">
        <v>43</v>
      </c>
      <c r="G60" s="9">
        <v>51608000</v>
      </c>
      <c r="H60" s="9">
        <v>84960933</v>
      </c>
      <c r="I60" s="9">
        <v>-33352933</v>
      </c>
      <c r="J60" s="9">
        <v>33352933</v>
      </c>
      <c r="K60" s="9">
        <v>0</v>
      </c>
      <c r="L60" s="9">
        <v>0</v>
      </c>
    </row>
    <row r="61" spans="1:12">
      <c r="A61" t="s">
        <v>192</v>
      </c>
      <c r="B61" t="s">
        <v>440</v>
      </c>
      <c r="C61" t="s">
        <v>503</v>
      </c>
      <c r="D61" t="s">
        <v>270</v>
      </c>
      <c r="E61" t="s">
        <v>487</v>
      </c>
      <c r="F61" t="s">
        <v>100</v>
      </c>
      <c r="G61" s="9">
        <v>25300000</v>
      </c>
      <c r="H61" s="9">
        <v>19300000</v>
      </c>
      <c r="I61" s="9">
        <v>6000000</v>
      </c>
      <c r="J61" s="9">
        <v>-6000000</v>
      </c>
      <c r="K61" s="9">
        <v>0</v>
      </c>
      <c r="L61" s="9">
        <v>0</v>
      </c>
    </row>
    <row r="62" spans="1:12">
      <c r="A62" t="s">
        <v>192</v>
      </c>
      <c r="B62" t="s">
        <v>440</v>
      </c>
      <c r="C62" t="s">
        <v>503</v>
      </c>
      <c r="D62" t="s">
        <v>270</v>
      </c>
      <c r="E62" t="s">
        <v>487</v>
      </c>
      <c r="F62" t="s">
        <v>132</v>
      </c>
      <c r="G62" s="9">
        <v>2000000</v>
      </c>
      <c r="H62" s="9">
        <v>1000000</v>
      </c>
      <c r="I62" s="9">
        <v>1000000</v>
      </c>
      <c r="J62" s="9"/>
      <c r="K62" s="9">
        <v>1000000</v>
      </c>
      <c r="L62" s="9">
        <v>1000000</v>
      </c>
    </row>
    <row r="63" spans="1:12">
      <c r="A63" t="s">
        <v>192</v>
      </c>
      <c r="B63" t="s">
        <v>440</v>
      </c>
      <c r="C63" t="s">
        <v>503</v>
      </c>
      <c r="D63" t="s">
        <v>270</v>
      </c>
      <c r="E63" t="s">
        <v>487</v>
      </c>
      <c r="F63" t="s">
        <v>45</v>
      </c>
      <c r="G63" s="9">
        <v>13210000</v>
      </c>
      <c r="H63" s="9">
        <v>11621000</v>
      </c>
      <c r="I63" s="9">
        <v>1589000</v>
      </c>
      <c r="J63" s="9"/>
      <c r="K63" s="9">
        <v>1589000</v>
      </c>
      <c r="L63" s="9">
        <v>1589000</v>
      </c>
    </row>
    <row r="64" spans="1:12">
      <c r="A64" t="s">
        <v>192</v>
      </c>
      <c r="B64" t="s">
        <v>440</v>
      </c>
      <c r="C64" t="s">
        <v>503</v>
      </c>
      <c r="D64" t="s">
        <v>270</v>
      </c>
      <c r="E64" t="s">
        <v>487</v>
      </c>
      <c r="F64" t="s">
        <v>43</v>
      </c>
      <c r="G64" s="9">
        <v>2000000</v>
      </c>
      <c r="H64" s="9">
        <v>30840000</v>
      </c>
      <c r="I64" s="9">
        <v>-28840000</v>
      </c>
      <c r="J64" s="9">
        <v>28840000</v>
      </c>
      <c r="K64" s="9">
        <v>0</v>
      </c>
      <c r="L64" s="9">
        <v>0</v>
      </c>
    </row>
    <row r="65" spans="1:12">
      <c r="A65" t="s">
        <v>192</v>
      </c>
      <c r="B65" t="s">
        <v>440</v>
      </c>
      <c r="C65" t="s">
        <v>503</v>
      </c>
      <c r="D65" t="s">
        <v>270</v>
      </c>
      <c r="E65" t="s">
        <v>487</v>
      </c>
      <c r="F65" t="s">
        <v>191</v>
      </c>
      <c r="G65" s="9">
        <v>34290000</v>
      </c>
      <c r="H65" s="9">
        <v>35139000</v>
      </c>
      <c r="I65" s="9">
        <v>-849000</v>
      </c>
      <c r="J65" s="9">
        <v>849000</v>
      </c>
      <c r="K65" s="9">
        <v>0</v>
      </c>
      <c r="L65" s="9">
        <v>0</v>
      </c>
    </row>
    <row r="66" spans="1:12">
      <c r="A66" t="s">
        <v>192</v>
      </c>
      <c r="B66" t="s">
        <v>440</v>
      </c>
      <c r="C66" t="s">
        <v>503</v>
      </c>
      <c r="D66" t="s">
        <v>270</v>
      </c>
      <c r="E66" t="s">
        <v>487</v>
      </c>
      <c r="F66" t="s">
        <v>195</v>
      </c>
      <c r="H66">
        <v>105000</v>
      </c>
      <c r="I66">
        <v>-105000</v>
      </c>
      <c r="J66">
        <v>105000</v>
      </c>
      <c r="K66">
        <v>0</v>
      </c>
      <c r="L66" s="9">
        <v>0</v>
      </c>
    </row>
    <row r="67" spans="1:12">
      <c r="A67" t="s">
        <v>192</v>
      </c>
      <c r="B67" t="s">
        <v>440</v>
      </c>
      <c r="C67" t="s">
        <v>502</v>
      </c>
      <c r="D67" t="s">
        <v>271</v>
      </c>
      <c r="E67" t="s">
        <v>487</v>
      </c>
      <c r="F67" t="s">
        <v>106</v>
      </c>
      <c r="G67">
        <v>8240000</v>
      </c>
      <c r="H67">
        <v>6740000</v>
      </c>
      <c r="I67">
        <v>1500000</v>
      </c>
      <c r="K67">
        <v>1500000</v>
      </c>
      <c r="L67" s="9">
        <v>1500000</v>
      </c>
    </row>
    <row r="68" spans="1:12">
      <c r="A68" t="s">
        <v>146</v>
      </c>
      <c r="B68" t="s">
        <v>440</v>
      </c>
      <c r="C68" t="s">
        <v>504</v>
      </c>
      <c r="D68" t="s">
        <v>451</v>
      </c>
      <c r="E68" t="s">
        <v>487</v>
      </c>
      <c r="F68" t="s">
        <v>46</v>
      </c>
      <c r="G68">
        <v>72000000</v>
      </c>
      <c r="H68">
        <v>72000000</v>
      </c>
      <c r="I68">
        <v>0</v>
      </c>
      <c r="K68">
        <v>0</v>
      </c>
      <c r="L68" s="9">
        <v>0</v>
      </c>
    </row>
    <row r="69" spans="1:12">
      <c r="A69" t="s">
        <v>146</v>
      </c>
      <c r="B69" t="s">
        <v>440</v>
      </c>
      <c r="C69" t="s">
        <v>504</v>
      </c>
      <c r="D69" t="s">
        <v>451</v>
      </c>
      <c r="E69" t="s">
        <v>487</v>
      </c>
      <c r="F69" t="s">
        <v>43</v>
      </c>
      <c r="G69">
        <v>47000000</v>
      </c>
      <c r="H69">
        <v>47000000</v>
      </c>
      <c r="I69">
        <v>0</v>
      </c>
      <c r="K69">
        <v>0</v>
      </c>
      <c r="L69" s="9">
        <v>0</v>
      </c>
    </row>
    <row r="70" spans="1:12">
      <c r="A70" t="s">
        <v>146</v>
      </c>
      <c r="B70" t="s">
        <v>440</v>
      </c>
      <c r="C70" t="s">
        <v>504</v>
      </c>
      <c r="D70" t="s">
        <v>451</v>
      </c>
      <c r="E70" t="s">
        <v>487</v>
      </c>
      <c r="F70" t="s">
        <v>100</v>
      </c>
      <c r="G70">
        <v>24000000</v>
      </c>
      <c r="H70">
        <v>24000000</v>
      </c>
      <c r="I70">
        <v>0</v>
      </c>
      <c r="K70">
        <v>0</v>
      </c>
      <c r="L70" s="9">
        <v>0</v>
      </c>
    </row>
    <row r="71" spans="1:12">
      <c r="A71" t="s">
        <v>146</v>
      </c>
      <c r="B71" t="s">
        <v>440</v>
      </c>
      <c r="C71" t="s">
        <v>504</v>
      </c>
      <c r="D71" t="s">
        <v>451</v>
      </c>
      <c r="E71" t="s">
        <v>487</v>
      </c>
      <c r="F71" t="s">
        <v>45</v>
      </c>
      <c r="G71">
        <v>16000000</v>
      </c>
      <c r="H71">
        <v>5000000</v>
      </c>
      <c r="I71">
        <v>11000000</v>
      </c>
      <c r="K71">
        <v>11000000</v>
      </c>
      <c r="L71" s="9">
        <v>11000000</v>
      </c>
    </row>
    <row r="72" spans="1:12">
      <c r="A72" t="s">
        <v>146</v>
      </c>
      <c r="B72" t="s">
        <v>440</v>
      </c>
      <c r="C72" t="s">
        <v>504</v>
      </c>
      <c r="D72" t="s">
        <v>451</v>
      </c>
      <c r="E72" t="s">
        <v>487</v>
      </c>
      <c r="F72" t="s">
        <v>133</v>
      </c>
      <c r="H72">
        <v>11000000</v>
      </c>
      <c r="I72">
        <v>-11000000</v>
      </c>
      <c r="J72">
        <v>11000000</v>
      </c>
      <c r="K72">
        <v>0</v>
      </c>
      <c r="L72" s="9">
        <v>0</v>
      </c>
    </row>
    <row r="73" spans="1:12">
      <c r="A73" t="s">
        <v>192</v>
      </c>
      <c r="B73" t="s">
        <v>440</v>
      </c>
      <c r="C73" t="s">
        <v>502</v>
      </c>
      <c r="D73" t="s">
        <v>271</v>
      </c>
      <c r="E73" t="s">
        <v>487</v>
      </c>
      <c r="F73" t="s">
        <v>100</v>
      </c>
      <c r="G73">
        <v>0</v>
      </c>
      <c r="H73">
        <v>0</v>
      </c>
      <c r="I73">
        <v>0</v>
      </c>
      <c r="K73">
        <v>0</v>
      </c>
      <c r="L73" s="9">
        <v>0</v>
      </c>
    </row>
    <row r="74" spans="1:12">
      <c r="A74" t="s">
        <v>192</v>
      </c>
      <c r="B74" t="s">
        <v>440</v>
      </c>
      <c r="C74" t="s">
        <v>502</v>
      </c>
      <c r="D74" t="s">
        <v>271</v>
      </c>
      <c r="E74" t="s">
        <v>487</v>
      </c>
      <c r="F74" t="s">
        <v>191</v>
      </c>
      <c r="G74">
        <v>2387000</v>
      </c>
      <c r="H74">
        <v>3167000</v>
      </c>
      <c r="I74">
        <v>-780000</v>
      </c>
      <c r="J74">
        <v>780000</v>
      </c>
      <c r="K74">
        <v>0</v>
      </c>
      <c r="L74" s="9">
        <v>0</v>
      </c>
    </row>
    <row r="75" spans="1:12">
      <c r="A75" t="s">
        <v>192</v>
      </c>
      <c r="B75" t="s">
        <v>505</v>
      </c>
      <c r="C75" t="s">
        <v>460</v>
      </c>
      <c r="D75" t="s">
        <v>270</v>
      </c>
      <c r="E75" t="s">
        <v>487</v>
      </c>
      <c r="F75" t="s">
        <v>43</v>
      </c>
      <c r="G75">
        <v>256200000</v>
      </c>
      <c r="H75">
        <v>223321400</v>
      </c>
      <c r="I75">
        <v>32878600</v>
      </c>
      <c r="K75">
        <v>32878600</v>
      </c>
      <c r="L75" s="9">
        <v>32878600</v>
      </c>
    </row>
    <row r="76" spans="1:12">
      <c r="A76" t="s">
        <v>192</v>
      </c>
      <c r="B76" t="s">
        <v>505</v>
      </c>
      <c r="C76" t="s">
        <v>460</v>
      </c>
      <c r="D76" t="s">
        <v>270</v>
      </c>
      <c r="E76" t="s">
        <v>487</v>
      </c>
      <c r="F76" t="s">
        <v>46</v>
      </c>
      <c r="G76">
        <v>9000000</v>
      </c>
      <c r="H76">
        <v>8417070</v>
      </c>
      <c r="I76">
        <v>582930</v>
      </c>
      <c r="K76">
        <v>582930</v>
      </c>
      <c r="L76" s="9">
        <v>582930</v>
      </c>
    </row>
    <row r="77" spans="1:12">
      <c r="A77" t="s">
        <v>192</v>
      </c>
      <c r="B77" t="s">
        <v>506</v>
      </c>
      <c r="C77" t="s">
        <v>209</v>
      </c>
      <c r="D77" t="s">
        <v>268</v>
      </c>
      <c r="E77" t="s">
        <v>487</v>
      </c>
      <c r="F77" t="s">
        <v>44</v>
      </c>
      <c r="G77">
        <v>31000000</v>
      </c>
      <c r="H77">
        <v>29418020</v>
      </c>
      <c r="I77">
        <v>1581980</v>
      </c>
      <c r="K77">
        <v>1581980</v>
      </c>
      <c r="L77" s="9">
        <v>1581980</v>
      </c>
    </row>
    <row r="78" spans="1:12">
      <c r="A78" t="s">
        <v>192</v>
      </c>
      <c r="B78" t="s">
        <v>506</v>
      </c>
      <c r="C78" t="s">
        <v>209</v>
      </c>
      <c r="D78" t="s">
        <v>271</v>
      </c>
      <c r="E78" t="s">
        <v>487</v>
      </c>
      <c r="F78" t="s">
        <v>100</v>
      </c>
      <c r="G78">
        <v>865800000</v>
      </c>
      <c r="H78">
        <v>873800000</v>
      </c>
      <c r="I78">
        <v>-8000000</v>
      </c>
      <c r="J78">
        <v>8000000</v>
      </c>
      <c r="K78">
        <v>0</v>
      </c>
      <c r="L78" s="9">
        <v>0</v>
      </c>
    </row>
    <row r="79" spans="1:12">
      <c r="A79" t="s">
        <v>192</v>
      </c>
      <c r="B79" t="s">
        <v>506</v>
      </c>
      <c r="C79" t="s">
        <v>209</v>
      </c>
      <c r="D79" t="s">
        <v>271</v>
      </c>
      <c r="E79" t="s">
        <v>487</v>
      </c>
      <c r="F79" t="s">
        <v>191</v>
      </c>
      <c r="G79">
        <v>118212890</v>
      </c>
      <c r="H79">
        <v>118212890</v>
      </c>
      <c r="I79">
        <v>0</v>
      </c>
      <c r="K79">
        <v>0</v>
      </c>
      <c r="L79" s="9">
        <v>0</v>
      </c>
    </row>
    <row r="80" spans="1:12">
      <c r="A80" t="s">
        <v>192</v>
      </c>
      <c r="B80" t="s">
        <v>440</v>
      </c>
      <c r="C80" t="s">
        <v>502</v>
      </c>
      <c r="D80" t="s">
        <v>271</v>
      </c>
      <c r="E80" t="s">
        <v>452</v>
      </c>
      <c r="F80" t="s">
        <v>191</v>
      </c>
      <c r="G80">
        <v>17817220</v>
      </c>
      <c r="H80">
        <v>17817220</v>
      </c>
      <c r="I80">
        <v>0</v>
      </c>
      <c r="K80">
        <v>0</v>
      </c>
      <c r="L80" s="9">
        <v>0</v>
      </c>
    </row>
    <row r="81" spans="1:12">
      <c r="A81" t="s">
        <v>192</v>
      </c>
      <c r="B81" t="s">
        <v>440</v>
      </c>
      <c r="C81" t="s">
        <v>502</v>
      </c>
      <c r="D81" t="s">
        <v>271</v>
      </c>
      <c r="E81" t="s">
        <v>453</v>
      </c>
      <c r="F81" t="s">
        <v>191</v>
      </c>
      <c r="G81">
        <v>20000000</v>
      </c>
      <c r="H81">
        <v>20000000</v>
      </c>
      <c r="I81">
        <v>0</v>
      </c>
      <c r="K81">
        <v>0</v>
      </c>
      <c r="L81" s="9">
        <v>0</v>
      </c>
    </row>
    <row r="82" spans="1:12">
      <c r="A82" t="s">
        <v>192</v>
      </c>
      <c r="B82" t="s">
        <v>440</v>
      </c>
      <c r="C82" t="s">
        <v>502</v>
      </c>
      <c r="D82" t="s">
        <v>271</v>
      </c>
      <c r="E82" t="s">
        <v>454</v>
      </c>
      <c r="F82" t="s">
        <v>191</v>
      </c>
      <c r="G82">
        <v>7881310</v>
      </c>
      <c r="H82">
        <v>7881310</v>
      </c>
      <c r="I82">
        <v>0</v>
      </c>
      <c r="K82">
        <v>0</v>
      </c>
      <c r="L82" s="9">
        <v>0</v>
      </c>
    </row>
    <row r="83" spans="1:12">
      <c r="A83" t="s">
        <v>192</v>
      </c>
      <c r="B83" t="s">
        <v>440</v>
      </c>
      <c r="C83" t="s">
        <v>502</v>
      </c>
      <c r="D83" t="s">
        <v>271</v>
      </c>
      <c r="E83" t="s">
        <v>455</v>
      </c>
      <c r="F83" t="s">
        <v>191</v>
      </c>
      <c r="G83">
        <v>19218580</v>
      </c>
      <c r="H83">
        <v>19218580</v>
      </c>
      <c r="I83">
        <v>0</v>
      </c>
      <c r="K83">
        <v>0</v>
      </c>
      <c r="L83" s="9">
        <v>0</v>
      </c>
    </row>
    <row r="84" spans="1:12">
      <c r="A84" t="s">
        <v>192</v>
      </c>
      <c r="B84" t="s">
        <v>440</v>
      </c>
      <c r="C84" t="s">
        <v>502</v>
      </c>
      <c r="D84" t="s">
        <v>271</v>
      </c>
      <c r="E84" t="s">
        <v>442</v>
      </c>
      <c r="F84" t="s">
        <v>191</v>
      </c>
      <c r="G84">
        <v>100000000</v>
      </c>
      <c r="H84">
        <v>100000000</v>
      </c>
      <c r="I84">
        <v>0</v>
      </c>
      <c r="K84">
        <v>0</v>
      </c>
      <c r="L84" s="9">
        <v>0</v>
      </c>
    </row>
    <row r="85" spans="1:12">
      <c r="A85" t="s">
        <v>192</v>
      </c>
      <c r="B85" t="s">
        <v>440</v>
      </c>
      <c r="C85" t="s">
        <v>502</v>
      </c>
      <c r="D85" t="s">
        <v>271</v>
      </c>
      <c r="E85" t="s">
        <v>444</v>
      </c>
      <c r="F85" t="s">
        <v>191</v>
      </c>
      <c r="G85">
        <v>139300000</v>
      </c>
      <c r="H85">
        <v>139300000</v>
      </c>
      <c r="I85">
        <v>0</v>
      </c>
      <c r="K85">
        <v>0</v>
      </c>
      <c r="L85" s="9">
        <v>0</v>
      </c>
    </row>
    <row r="86" spans="1:12">
      <c r="A86" t="s">
        <v>192</v>
      </c>
      <c r="B86" t="s">
        <v>440</v>
      </c>
      <c r="C86" t="s">
        <v>502</v>
      </c>
      <c r="D86" t="s">
        <v>271</v>
      </c>
      <c r="E86" t="s">
        <v>444</v>
      </c>
      <c r="F86" t="s">
        <v>100</v>
      </c>
      <c r="G86">
        <v>13000000</v>
      </c>
      <c r="H86">
        <v>13000000</v>
      </c>
      <c r="I86">
        <v>0</v>
      </c>
      <c r="K86">
        <v>0</v>
      </c>
      <c r="L86" s="9">
        <v>0</v>
      </c>
    </row>
    <row r="87" spans="1:12">
      <c r="A87" t="s">
        <v>192</v>
      </c>
      <c r="B87" t="s">
        <v>440</v>
      </c>
      <c r="C87" t="s">
        <v>502</v>
      </c>
      <c r="D87" t="s">
        <v>271</v>
      </c>
      <c r="E87" t="s">
        <v>445</v>
      </c>
      <c r="F87" t="s">
        <v>191</v>
      </c>
      <c r="G87">
        <v>99500000</v>
      </c>
      <c r="H87">
        <v>99500000</v>
      </c>
      <c r="I87">
        <v>0</v>
      </c>
      <c r="K87">
        <v>0</v>
      </c>
      <c r="L87" s="9">
        <v>0</v>
      </c>
    </row>
    <row r="88" spans="1:12">
      <c r="A88" t="s">
        <v>192</v>
      </c>
      <c r="B88" t="s">
        <v>440</v>
      </c>
      <c r="C88" t="s">
        <v>502</v>
      </c>
      <c r="D88" t="s">
        <v>271</v>
      </c>
      <c r="E88" t="s">
        <v>445</v>
      </c>
      <c r="F88" t="s">
        <v>100</v>
      </c>
      <c r="G88">
        <v>500000</v>
      </c>
      <c r="H88">
        <v>500000</v>
      </c>
      <c r="I88">
        <v>0</v>
      </c>
      <c r="K88">
        <v>0</v>
      </c>
      <c r="L88" s="9">
        <v>0</v>
      </c>
    </row>
    <row r="89" spans="1:12">
      <c r="A89" t="s">
        <v>192</v>
      </c>
      <c r="B89" t="s">
        <v>440</v>
      </c>
      <c r="C89" t="s">
        <v>502</v>
      </c>
      <c r="D89" t="s">
        <v>271</v>
      </c>
      <c r="E89" t="s">
        <v>498</v>
      </c>
      <c r="F89" t="s">
        <v>191</v>
      </c>
      <c r="G89">
        <v>90000000</v>
      </c>
      <c r="H89">
        <v>90000000</v>
      </c>
      <c r="I89">
        <v>0</v>
      </c>
      <c r="K89">
        <v>0</v>
      </c>
      <c r="L89" s="9">
        <v>0</v>
      </c>
    </row>
    <row r="90" spans="1:12">
      <c r="A90" t="s">
        <v>192</v>
      </c>
      <c r="B90" t="s">
        <v>440</v>
      </c>
      <c r="C90" t="s">
        <v>502</v>
      </c>
      <c r="D90" t="s">
        <v>271</v>
      </c>
      <c r="E90" t="s">
        <v>498</v>
      </c>
      <c r="F90" t="s">
        <v>100</v>
      </c>
      <c r="G90">
        <v>10000000</v>
      </c>
      <c r="H90">
        <v>10000000</v>
      </c>
      <c r="I90">
        <v>0</v>
      </c>
      <c r="K90">
        <v>0</v>
      </c>
      <c r="L90" s="9">
        <v>0</v>
      </c>
    </row>
    <row r="91" spans="1:12">
      <c r="A91" t="s">
        <v>192</v>
      </c>
      <c r="B91" t="s">
        <v>440</v>
      </c>
      <c r="C91" t="s">
        <v>502</v>
      </c>
      <c r="D91" t="s">
        <v>271</v>
      </c>
      <c r="E91" t="s">
        <v>507</v>
      </c>
      <c r="F91" t="s">
        <v>191</v>
      </c>
      <c r="G91">
        <v>87460000</v>
      </c>
      <c r="H91">
        <v>87460000</v>
      </c>
      <c r="I91">
        <v>0</v>
      </c>
      <c r="K91">
        <v>0</v>
      </c>
      <c r="L91" s="9">
        <v>0</v>
      </c>
    </row>
    <row r="92" spans="1:12">
      <c r="A92" t="s">
        <v>192</v>
      </c>
      <c r="B92" t="s">
        <v>440</v>
      </c>
      <c r="C92" t="s">
        <v>502</v>
      </c>
      <c r="D92" t="s">
        <v>271</v>
      </c>
      <c r="E92" t="s">
        <v>507</v>
      </c>
      <c r="F92" t="s">
        <v>100</v>
      </c>
      <c r="G92">
        <v>11240000</v>
      </c>
      <c r="H92">
        <v>11240000</v>
      </c>
      <c r="I92">
        <v>0</v>
      </c>
      <c r="K92">
        <v>0</v>
      </c>
      <c r="L92" s="9">
        <v>0</v>
      </c>
    </row>
    <row r="93" spans="1:12">
      <c r="A93" t="s">
        <v>192</v>
      </c>
      <c r="B93" t="s">
        <v>440</v>
      </c>
      <c r="C93" t="s">
        <v>502</v>
      </c>
      <c r="D93" t="s">
        <v>271</v>
      </c>
      <c r="E93" t="s">
        <v>508</v>
      </c>
      <c r="F93" t="s">
        <v>191</v>
      </c>
      <c r="G93">
        <v>87357000</v>
      </c>
      <c r="H93">
        <v>87357000</v>
      </c>
      <c r="I93">
        <v>0</v>
      </c>
      <c r="K93">
        <v>0</v>
      </c>
      <c r="L93" s="9">
        <v>0</v>
      </c>
    </row>
    <row r="94" spans="1:12">
      <c r="A94" t="s">
        <v>192</v>
      </c>
      <c r="B94" t="s">
        <v>440</v>
      </c>
      <c r="C94" t="s">
        <v>502</v>
      </c>
      <c r="D94" t="s">
        <v>271</v>
      </c>
      <c r="E94" t="s">
        <v>508</v>
      </c>
      <c r="F94" t="s">
        <v>100</v>
      </c>
      <c r="G94">
        <v>12600000</v>
      </c>
      <c r="H94">
        <v>12600000</v>
      </c>
      <c r="I94">
        <v>0</v>
      </c>
      <c r="K94">
        <v>0</v>
      </c>
      <c r="L94" s="9">
        <v>0</v>
      </c>
    </row>
    <row r="95" spans="1:12">
      <c r="A95" t="s">
        <v>192</v>
      </c>
      <c r="B95" t="s">
        <v>506</v>
      </c>
      <c r="C95" t="s">
        <v>209</v>
      </c>
      <c r="D95" t="s">
        <v>268</v>
      </c>
      <c r="E95" t="s">
        <v>487</v>
      </c>
      <c r="F95" t="s">
        <v>133</v>
      </c>
      <c r="G95">
        <v>40000000</v>
      </c>
      <c r="H95">
        <v>26575000</v>
      </c>
      <c r="I95">
        <v>13425000</v>
      </c>
      <c r="J95">
        <v>-13425000</v>
      </c>
      <c r="K95">
        <v>0</v>
      </c>
      <c r="L95" s="9">
        <v>0</v>
      </c>
    </row>
    <row r="96" spans="1:12">
      <c r="A96" t="s">
        <v>192</v>
      </c>
      <c r="B96" t="s">
        <v>506</v>
      </c>
      <c r="C96" t="s">
        <v>209</v>
      </c>
      <c r="D96" t="s">
        <v>271</v>
      </c>
      <c r="E96" t="s">
        <v>487</v>
      </c>
      <c r="F96" t="s">
        <v>44</v>
      </c>
      <c r="G96">
        <v>25000000</v>
      </c>
      <c r="H96">
        <v>25000000</v>
      </c>
      <c r="I96">
        <v>0</v>
      </c>
      <c r="K96">
        <v>0</v>
      </c>
      <c r="L96" s="9">
        <v>0</v>
      </c>
    </row>
    <row r="97" spans="1:12">
      <c r="A97" t="s">
        <v>192</v>
      </c>
      <c r="B97" t="s">
        <v>506</v>
      </c>
      <c r="C97" t="s">
        <v>209</v>
      </c>
      <c r="D97" t="s">
        <v>271</v>
      </c>
      <c r="E97" t="s">
        <v>487</v>
      </c>
      <c r="F97" t="s">
        <v>106</v>
      </c>
      <c r="G97">
        <v>2000000</v>
      </c>
      <c r="H97">
        <v>2000000</v>
      </c>
      <c r="I97">
        <v>0</v>
      </c>
      <c r="K97">
        <v>0</v>
      </c>
      <c r="L97" s="9">
        <v>0</v>
      </c>
    </row>
    <row r="98" spans="1:12">
      <c r="A98" t="s">
        <v>192</v>
      </c>
      <c r="B98" t="s">
        <v>506</v>
      </c>
      <c r="C98" t="s">
        <v>209</v>
      </c>
      <c r="D98" t="s">
        <v>271</v>
      </c>
      <c r="E98" t="s">
        <v>487</v>
      </c>
      <c r="F98" t="s">
        <v>195</v>
      </c>
      <c r="G98">
        <v>0</v>
      </c>
      <c r="H98">
        <v>3170000</v>
      </c>
      <c r="I98">
        <v>-3170000</v>
      </c>
      <c r="J98">
        <v>3170000</v>
      </c>
      <c r="K98">
        <v>0</v>
      </c>
      <c r="L98" s="9">
        <v>0</v>
      </c>
    </row>
    <row r="99" spans="1:12">
      <c r="A99" t="s">
        <v>192</v>
      </c>
      <c r="B99" t="s">
        <v>509</v>
      </c>
      <c r="C99" t="s">
        <v>212</v>
      </c>
      <c r="D99" t="s">
        <v>270</v>
      </c>
      <c r="E99" t="s">
        <v>487</v>
      </c>
      <c r="F99" t="s">
        <v>191</v>
      </c>
      <c r="G99">
        <v>30000000</v>
      </c>
      <c r="H99">
        <v>40316790</v>
      </c>
      <c r="I99">
        <v>-10316790</v>
      </c>
      <c r="J99">
        <v>10316790</v>
      </c>
      <c r="K99">
        <v>0</v>
      </c>
      <c r="L99" s="9">
        <v>0</v>
      </c>
    </row>
    <row r="100" spans="1:12">
      <c r="A100" t="s">
        <v>192</v>
      </c>
      <c r="B100" t="s">
        <v>509</v>
      </c>
      <c r="C100" t="s">
        <v>212</v>
      </c>
      <c r="D100" t="s">
        <v>270</v>
      </c>
      <c r="E100" t="s">
        <v>487</v>
      </c>
      <c r="F100" t="s">
        <v>133</v>
      </c>
      <c r="G100">
        <v>36800000</v>
      </c>
      <c r="H100">
        <v>38877010</v>
      </c>
      <c r="I100">
        <v>-2077010</v>
      </c>
      <c r="J100">
        <v>2077010</v>
      </c>
      <c r="K100">
        <v>0</v>
      </c>
      <c r="L100" s="9">
        <v>0</v>
      </c>
    </row>
    <row r="101" spans="1:12">
      <c r="A101" t="s">
        <v>192</v>
      </c>
      <c r="B101" t="s">
        <v>509</v>
      </c>
      <c r="C101" t="s">
        <v>212</v>
      </c>
      <c r="D101" t="s">
        <v>270</v>
      </c>
      <c r="E101" t="s">
        <v>487</v>
      </c>
      <c r="F101" t="s">
        <v>100</v>
      </c>
      <c r="H101">
        <v>3440000</v>
      </c>
      <c r="I101">
        <v>-3440000</v>
      </c>
      <c r="J101">
        <v>3440000</v>
      </c>
      <c r="K101">
        <v>0</v>
      </c>
      <c r="L101" s="9">
        <v>0</v>
      </c>
    </row>
    <row r="102" spans="1:12">
      <c r="A102" t="s">
        <v>192</v>
      </c>
      <c r="B102" t="s">
        <v>509</v>
      </c>
      <c r="C102" t="s">
        <v>212</v>
      </c>
      <c r="D102" t="s">
        <v>270</v>
      </c>
      <c r="E102" t="s">
        <v>487</v>
      </c>
      <c r="F102" t="s">
        <v>195</v>
      </c>
      <c r="H102">
        <v>700000</v>
      </c>
      <c r="I102">
        <v>-700000</v>
      </c>
      <c r="J102">
        <v>700000</v>
      </c>
      <c r="K102">
        <v>0</v>
      </c>
      <c r="L102" s="9">
        <v>0</v>
      </c>
    </row>
    <row r="103" spans="1:12">
      <c r="A103" t="s">
        <v>216</v>
      </c>
      <c r="B103" t="s">
        <v>510</v>
      </c>
      <c r="C103" t="s">
        <v>233</v>
      </c>
      <c r="D103" t="s">
        <v>432</v>
      </c>
      <c r="E103" t="s">
        <v>487</v>
      </c>
      <c r="F103" t="s">
        <v>215</v>
      </c>
      <c r="G103">
        <v>17460000</v>
      </c>
      <c r="H103">
        <v>17460000</v>
      </c>
      <c r="I103">
        <v>0</v>
      </c>
      <c r="K103">
        <v>0</v>
      </c>
      <c r="L103" s="9">
        <v>0</v>
      </c>
    </row>
    <row r="104" spans="1:12">
      <c r="A104" t="s">
        <v>166</v>
      </c>
      <c r="B104" t="s">
        <v>510</v>
      </c>
      <c r="C104" t="s">
        <v>233</v>
      </c>
      <c r="D104" t="s">
        <v>290</v>
      </c>
      <c r="E104" t="s">
        <v>487</v>
      </c>
      <c r="F104" t="s">
        <v>100</v>
      </c>
      <c r="G104">
        <v>15000000</v>
      </c>
      <c r="H104">
        <v>15000000</v>
      </c>
      <c r="I104">
        <v>0</v>
      </c>
      <c r="K104">
        <v>0</v>
      </c>
      <c r="L104" s="9">
        <v>0</v>
      </c>
    </row>
    <row r="105" spans="1:12">
      <c r="A105" t="s">
        <v>166</v>
      </c>
      <c r="B105" t="s">
        <v>510</v>
      </c>
      <c r="C105" t="s">
        <v>233</v>
      </c>
      <c r="D105" t="s">
        <v>290</v>
      </c>
      <c r="E105" t="s">
        <v>487</v>
      </c>
      <c r="F105" t="s">
        <v>219</v>
      </c>
      <c r="G105">
        <v>25848000</v>
      </c>
      <c r="H105">
        <v>25848000</v>
      </c>
      <c r="I105">
        <v>0</v>
      </c>
      <c r="K105">
        <v>0</v>
      </c>
      <c r="L105" s="9">
        <v>0</v>
      </c>
    </row>
    <row r="106" spans="1:12">
      <c r="A106" t="s">
        <v>166</v>
      </c>
      <c r="B106" t="s">
        <v>510</v>
      </c>
      <c r="C106" t="s">
        <v>233</v>
      </c>
      <c r="D106" t="s">
        <v>290</v>
      </c>
      <c r="E106" t="s">
        <v>487</v>
      </c>
      <c r="F106" t="s">
        <v>191</v>
      </c>
      <c r="G106">
        <v>8490000</v>
      </c>
      <c r="H106">
        <v>6960000</v>
      </c>
      <c r="I106">
        <v>1530000</v>
      </c>
      <c r="K106">
        <v>1530000</v>
      </c>
      <c r="L106" s="9">
        <v>1530000</v>
      </c>
    </row>
    <row r="107" spans="1:12">
      <c r="A107" t="s">
        <v>181</v>
      </c>
      <c r="B107" t="s">
        <v>510</v>
      </c>
      <c r="C107" t="s">
        <v>233</v>
      </c>
      <c r="D107" t="s">
        <v>433</v>
      </c>
      <c r="E107" t="s">
        <v>487</v>
      </c>
      <c r="F107" t="s">
        <v>106</v>
      </c>
      <c r="G107">
        <v>10000000</v>
      </c>
      <c r="H107">
        <v>9748230</v>
      </c>
      <c r="I107">
        <v>251770</v>
      </c>
      <c r="K107">
        <v>251770</v>
      </c>
      <c r="L107" s="9">
        <v>251770</v>
      </c>
    </row>
    <row r="108" spans="1:12">
      <c r="A108" t="s">
        <v>166</v>
      </c>
      <c r="B108" t="s">
        <v>510</v>
      </c>
      <c r="C108" t="s">
        <v>233</v>
      </c>
      <c r="D108" t="s">
        <v>290</v>
      </c>
      <c r="E108" t="s">
        <v>487</v>
      </c>
      <c r="F108" t="s">
        <v>106</v>
      </c>
      <c r="G108">
        <v>2500000</v>
      </c>
      <c r="H108">
        <v>2500000</v>
      </c>
      <c r="I108">
        <v>0</v>
      </c>
      <c r="K108">
        <v>0</v>
      </c>
      <c r="L108" s="9">
        <v>0</v>
      </c>
    </row>
    <row r="109" spans="1:12">
      <c r="A109" t="s">
        <v>166</v>
      </c>
      <c r="B109" t="s">
        <v>510</v>
      </c>
      <c r="C109" t="s">
        <v>233</v>
      </c>
      <c r="D109" t="s">
        <v>283</v>
      </c>
      <c r="E109" t="s">
        <v>487</v>
      </c>
      <c r="F109" t="s">
        <v>195</v>
      </c>
      <c r="H109">
        <v>13966000</v>
      </c>
      <c r="I109">
        <v>-13966000</v>
      </c>
      <c r="J109">
        <v>13966000</v>
      </c>
      <c r="K109">
        <v>0</v>
      </c>
      <c r="L109" s="9">
        <v>0</v>
      </c>
    </row>
    <row r="110" spans="1:12">
      <c r="A110" t="s">
        <v>166</v>
      </c>
      <c r="B110" t="s">
        <v>510</v>
      </c>
      <c r="C110" t="s">
        <v>233</v>
      </c>
      <c r="D110" t="s">
        <v>511</v>
      </c>
      <c r="E110" t="s">
        <v>487</v>
      </c>
      <c r="F110" t="s">
        <v>133</v>
      </c>
      <c r="H110">
        <v>3305900</v>
      </c>
      <c r="I110">
        <v>-3305900</v>
      </c>
      <c r="J110">
        <v>3305900</v>
      </c>
      <c r="K110">
        <v>0</v>
      </c>
      <c r="L110" s="9">
        <v>0</v>
      </c>
    </row>
    <row r="111" spans="1:12">
      <c r="A111" t="s">
        <v>216</v>
      </c>
      <c r="B111" t="s">
        <v>510</v>
      </c>
      <c r="C111" t="s">
        <v>512</v>
      </c>
      <c r="D111" t="s">
        <v>432</v>
      </c>
      <c r="E111" t="s">
        <v>487</v>
      </c>
      <c r="F111" t="s">
        <v>106</v>
      </c>
      <c r="G111">
        <v>6000000</v>
      </c>
      <c r="H111">
        <v>0</v>
      </c>
      <c r="I111">
        <v>6000000</v>
      </c>
      <c r="K111">
        <v>6000000</v>
      </c>
      <c r="L111" s="9">
        <v>2165826</v>
      </c>
    </row>
    <row r="112" spans="1:12">
      <c r="A112" t="s">
        <v>216</v>
      </c>
      <c r="B112" t="s">
        <v>513</v>
      </c>
      <c r="C112" t="s">
        <v>223</v>
      </c>
      <c r="D112" t="s">
        <v>514</v>
      </c>
      <c r="E112" t="s">
        <v>487</v>
      </c>
      <c r="F112" t="s">
        <v>224</v>
      </c>
      <c r="G112">
        <v>1018100000</v>
      </c>
      <c r="H112">
        <v>1338412700</v>
      </c>
      <c r="I112">
        <v>-320312700</v>
      </c>
      <c r="J112">
        <v>320312700</v>
      </c>
      <c r="K112">
        <v>0</v>
      </c>
      <c r="L112" s="9">
        <v>0</v>
      </c>
    </row>
    <row r="113" spans="1:12">
      <c r="A113" t="s">
        <v>216</v>
      </c>
      <c r="B113" t="s">
        <v>513</v>
      </c>
      <c r="C113" t="s">
        <v>223</v>
      </c>
      <c r="D113" t="s">
        <v>514</v>
      </c>
      <c r="E113" t="s">
        <v>487</v>
      </c>
      <c r="F113" t="s">
        <v>86</v>
      </c>
      <c r="G113">
        <v>762000000</v>
      </c>
      <c r="H113">
        <v>957772090</v>
      </c>
      <c r="I113">
        <v>-195772090</v>
      </c>
      <c r="J113">
        <v>195772090</v>
      </c>
      <c r="K113">
        <v>0</v>
      </c>
      <c r="L113" s="9">
        <v>0</v>
      </c>
    </row>
    <row r="114" spans="1:12">
      <c r="A114" t="s">
        <v>216</v>
      </c>
      <c r="B114" t="s">
        <v>513</v>
      </c>
      <c r="C114" t="s">
        <v>223</v>
      </c>
      <c r="D114" t="s">
        <v>514</v>
      </c>
      <c r="E114" t="s">
        <v>487</v>
      </c>
      <c r="F114" t="s">
        <v>45</v>
      </c>
      <c r="G114">
        <v>5000000</v>
      </c>
      <c r="H114">
        <v>4565000</v>
      </c>
      <c r="I114">
        <v>435000</v>
      </c>
      <c r="K114">
        <v>435000</v>
      </c>
      <c r="L114" s="9">
        <v>435000</v>
      </c>
    </row>
    <row r="115" spans="1:12">
      <c r="A115" t="s">
        <v>166</v>
      </c>
      <c r="B115" t="s">
        <v>515</v>
      </c>
      <c r="C115" t="s">
        <v>516</v>
      </c>
      <c r="D115" t="s">
        <v>435</v>
      </c>
      <c r="E115" t="s">
        <v>487</v>
      </c>
      <c r="F115" t="s">
        <v>100</v>
      </c>
      <c r="G115">
        <v>91300000</v>
      </c>
      <c r="H115">
        <v>80200000</v>
      </c>
      <c r="I115">
        <v>11100000</v>
      </c>
      <c r="J115">
        <v>-5890000</v>
      </c>
      <c r="K115">
        <v>5210000</v>
      </c>
      <c r="L115" s="9">
        <v>5210000</v>
      </c>
    </row>
    <row r="116" spans="1:12">
      <c r="A116" t="s">
        <v>166</v>
      </c>
      <c r="B116" t="s">
        <v>515</v>
      </c>
      <c r="C116" t="s">
        <v>516</v>
      </c>
      <c r="D116" t="s">
        <v>435</v>
      </c>
      <c r="E116" t="s">
        <v>487</v>
      </c>
      <c r="F116" t="s">
        <v>45</v>
      </c>
      <c r="G116">
        <v>2823000</v>
      </c>
      <c r="H116">
        <v>2522750</v>
      </c>
      <c r="I116">
        <v>300250</v>
      </c>
      <c r="K116">
        <v>300250</v>
      </c>
      <c r="L116" s="9">
        <v>300250</v>
      </c>
    </row>
    <row r="117" spans="1:12">
      <c r="A117" t="s">
        <v>166</v>
      </c>
      <c r="B117" t="s">
        <v>515</v>
      </c>
      <c r="C117" t="s">
        <v>516</v>
      </c>
      <c r="D117" t="s">
        <v>435</v>
      </c>
      <c r="E117" t="s">
        <v>487</v>
      </c>
      <c r="F117" t="s">
        <v>106</v>
      </c>
      <c r="G117">
        <v>500000</v>
      </c>
      <c r="H117">
        <v>500000</v>
      </c>
      <c r="I117">
        <v>0</v>
      </c>
      <c r="K117">
        <v>0</v>
      </c>
      <c r="L117" s="9">
        <v>0</v>
      </c>
    </row>
    <row r="118" spans="1:12">
      <c r="A118" t="s">
        <v>166</v>
      </c>
      <c r="B118" t="s">
        <v>517</v>
      </c>
      <c r="C118" t="s">
        <v>518</v>
      </c>
      <c r="D118" t="s">
        <v>436</v>
      </c>
      <c r="E118" t="s">
        <v>487</v>
      </c>
      <c r="F118" t="s">
        <v>100</v>
      </c>
      <c r="G118">
        <v>16300000</v>
      </c>
      <c r="H118">
        <v>16300000</v>
      </c>
      <c r="I118">
        <v>0</v>
      </c>
      <c r="K118">
        <v>0</v>
      </c>
      <c r="L118" s="9">
        <v>0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2F3B-2499-4ADD-9648-7933CB592F29}">
  <dimension ref="A1:K119"/>
  <sheetViews>
    <sheetView workbookViewId="0">
      <selection sqref="A1:K118"/>
    </sheetView>
  </sheetViews>
  <sheetFormatPr defaultRowHeight="16.5"/>
  <cols>
    <col min="2" max="2" width="12.375" bestFit="1" customWidth="1"/>
    <col min="3" max="3" width="48.375" bestFit="1" customWidth="1"/>
    <col min="5" max="5" width="16.25" bestFit="1" customWidth="1"/>
    <col min="6" max="6" width="18.25" bestFit="1" customWidth="1"/>
    <col min="7" max="7" width="27.875" bestFit="1" customWidth="1"/>
    <col min="8" max="9" width="14.375" bestFit="1" customWidth="1"/>
    <col min="10" max="10" width="12.75" bestFit="1" customWidth="1"/>
    <col min="11" max="11" width="14.375" bestFit="1" customWidth="1"/>
  </cols>
  <sheetData>
    <row r="1" spans="1:11">
      <c r="A1" t="s">
        <v>144</v>
      </c>
      <c r="B1" t="s">
        <v>476</v>
      </c>
      <c r="C1" t="s">
        <v>477</v>
      </c>
      <c r="D1" t="s">
        <v>478</v>
      </c>
      <c r="E1" t="s">
        <v>479</v>
      </c>
      <c r="F1" t="s">
        <v>0</v>
      </c>
      <c r="G1" s="1" t="s">
        <v>480</v>
      </c>
      <c r="H1" s="1" t="s">
        <v>481</v>
      </c>
      <c r="I1" s="1" t="s">
        <v>482</v>
      </c>
      <c r="J1" s="1" t="s">
        <v>483</v>
      </c>
      <c r="K1" s="1" t="s">
        <v>484</v>
      </c>
    </row>
    <row r="2" spans="1:11">
      <c r="A2" t="s">
        <v>146</v>
      </c>
      <c r="B2" t="s">
        <v>485</v>
      </c>
      <c r="C2" t="s">
        <v>237</v>
      </c>
      <c r="D2" t="s">
        <v>486</v>
      </c>
      <c r="E2" t="s">
        <v>487</v>
      </c>
      <c r="F2" t="s">
        <v>44</v>
      </c>
      <c r="G2" s="9">
        <v>600000000</v>
      </c>
      <c r="H2" s="9">
        <v>321589782</v>
      </c>
      <c r="I2" s="9">
        <v>278410218</v>
      </c>
      <c r="J2" s="9"/>
      <c r="K2" s="9">
        <v>278410218</v>
      </c>
    </row>
    <row r="3" spans="1:11">
      <c r="A3" t="s">
        <v>146</v>
      </c>
      <c r="B3" t="s">
        <v>485</v>
      </c>
      <c r="C3" t="s">
        <v>237</v>
      </c>
      <c r="D3" t="s">
        <v>486</v>
      </c>
      <c r="E3" t="s">
        <v>487</v>
      </c>
      <c r="F3" t="s">
        <v>46</v>
      </c>
      <c r="G3" s="9">
        <v>238500000</v>
      </c>
      <c r="H3" s="9">
        <v>193340797</v>
      </c>
      <c r="I3" s="9">
        <v>45159203</v>
      </c>
      <c r="J3" s="9"/>
      <c r="K3" s="9">
        <v>45159203</v>
      </c>
    </row>
    <row r="4" spans="1:11">
      <c r="A4" t="s">
        <v>146</v>
      </c>
      <c r="B4" t="s">
        <v>485</v>
      </c>
      <c r="C4" t="s">
        <v>237</v>
      </c>
      <c r="D4" t="s">
        <v>486</v>
      </c>
      <c r="E4" t="s">
        <v>487</v>
      </c>
      <c r="F4" t="s">
        <v>43</v>
      </c>
      <c r="G4" s="9">
        <v>1310400000</v>
      </c>
      <c r="H4" s="9">
        <v>792586667</v>
      </c>
      <c r="I4" s="9">
        <v>517813333</v>
      </c>
      <c r="J4" s="9">
        <v>-62192933</v>
      </c>
      <c r="K4" s="9">
        <v>455620400</v>
      </c>
    </row>
    <row r="5" spans="1:11">
      <c r="A5" t="s">
        <v>146</v>
      </c>
      <c r="B5" t="s">
        <v>485</v>
      </c>
      <c r="C5" t="s">
        <v>237</v>
      </c>
      <c r="D5" t="s">
        <v>486</v>
      </c>
      <c r="E5" t="s">
        <v>487</v>
      </c>
      <c r="F5" t="s">
        <v>106</v>
      </c>
      <c r="G5" s="9">
        <v>30000000</v>
      </c>
      <c r="H5" s="9">
        <v>11643860</v>
      </c>
      <c r="I5" s="9">
        <v>18356140</v>
      </c>
      <c r="J5" s="9">
        <v>-3599770</v>
      </c>
      <c r="K5" s="9">
        <v>14756370</v>
      </c>
    </row>
    <row r="6" spans="1:11">
      <c r="A6" t="s">
        <v>146</v>
      </c>
      <c r="B6" t="s">
        <v>485</v>
      </c>
      <c r="C6" t="s">
        <v>237</v>
      </c>
      <c r="D6" t="s">
        <v>486</v>
      </c>
      <c r="E6" t="s">
        <v>487</v>
      </c>
      <c r="F6" t="s">
        <v>133</v>
      </c>
      <c r="G6" s="9">
        <v>0</v>
      </c>
      <c r="H6" s="9">
        <v>9574490</v>
      </c>
      <c r="I6" s="9">
        <v>-9574490</v>
      </c>
      <c r="J6" s="9">
        <v>9574490</v>
      </c>
      <c r="K6" s="9">
        <v>0</v>
      </c>
    </row>
    <row r="7" spans="1:11">
      <c r="A7" t="s">
        <v>166</v>
      </c>
      <c r="B7" t="s">
        <v>488</v>
      </c>
      <c r="C7" t="s">
        <v>489</v>
      </c>
      <c r="D7" t="s">
        <v>282</v>
      </c>
      <c r="E7" t="s">
        <v>487</v>
      </c>
      <c r="F7" t="s">
        <v>490</v>
      </c>
      <c r="G7" s="9">
        <v>0</v>
      </c>
      <c r="H7" s="9">
        <v>0</v>
      </c>
      <c r="I7" s="9">
        <v>0</v>
      </c>
      <c r="J7" s="9"/>
      <c r="K7" s="9">
        <v>0</v>
      </c>
    </row>
    <row r="8" spans="1:11">
      <c r="A8" t="s">
        <v>166</v>
      </c>
      <c r="B8" t="s">
        <v>488</v>
      </c>
      <c r="C8" t="s">
        <v>489</v>
      </c>
      <c r="D8" t="s">
        <v>282</v>
      </c>
      <c r="E8" t="s">
        <v>487</v>
      </c>
      <c r="F8" t="s">
        <v>168</v>
      </c>
      <c r="G8" s="9">
        <v>97691000</v>
      </c>
      <c r="H8" s="9">
        <v>97691000</v>
      </c>
      <c r="I8" s="9">
        <v>0</v>
      </c>
      <c r="J8" s="9"/>
      <c r="K8" s="9">
        <v>0</v>
      </c>
    </row>
    <row r="9" spans="1:11">
      <c r="A9" t="s">
        <v>166</v>
      </c>
      <c r="B9" t="s">
        <v>488</v>
      </c>
      <c r="C9" t="s">
        <v>489</v>
      </c>
      <c r="D9" t="s">
        <v>282</v>
      </c>
      <c r="E9" t="s">
        <v>487</v>
      </c>
      <c r="F9" t="s">
        <v>169</v>
      </c>
      <c r="G9" s="9">
        <v>3360000</v>
      </c>
      <c r="H9" s="9">
        <v>3360000</v>
      </c>
      <c r="I9" s="9">
        <v>0</v>
      </c>
      <c r="J9" s="9"/>
      <c r="K9" s="9">
        <v>0</v>
      </c>
    </row>
    <row r="10" spans="1:11">
      <c r="A10" t="s">
        <v>166</v>
      </c>
      <c r="B10" t="s">
        <v>488</v>
      </c>
      <c r="C10" t="s">
        <v>489</v>
      </c>
      <c r="D10" t="s">
        <v>282</v>
      </c>
      <c r="E10" t="s">
        <v>487</v>
      </c>
      <c r="F10" t="s">
        <v>170</v>
      </c>
      <c r="G10" s="9">
        <v>9371000</v>
      </c>
      <c r="H10" s="9">
        <v>9299430</v>
      </c>
      <c r="I10" s="9">
        <v>71570</v>
      </c>
      <c r="J10" s="9"/>
      <c r="K10" s="9">
        <v>71570</v>
      </c>
    </row>
    <row r="11" spans="1:11">
      <c r="A11" t="s">
        <v>166</v>
      </c>
      <c r="B11" t="s">
        <v>491</v>
      </c>
      <c r="C11" t="s">
        <v>164</v>
      </c>
      <c r="D11" t="s">
        <v>283</v>
      </c>
      <c r="E11" t="s">
        <v>487</v>
      </c>
      <c r="F11" t="s">
        <v>46</v>
      </c>
      <c r="G11" s="9">
        <v>0</v>
      </c>
      <c r="H11" s="9">
        <v>0</v>
      </c>
      <c r="I11" s="9">
        <v>0</v>
      </c>
      <c r="J11" s="9"/>
      <c r="K11" s="9">
        <v>0</v>
      </c>
    </row>
    <row r="12" spans="1:11">
      <c r="A12" t="s">
        <v>166</v>
      </c>
      <c r="B12" t="s">
        <v>491</v>
      </c>
      <c r="C12" t="s">
        <v>492</v>
      </c>
      <c r="D12" t="s">
        <v>381</v>
      </c>
      <c r="E12" t="s">
        <v>487</v>
      </c>
      <c r="F12" t="s">
        <v>44</v>
      </c>
      <c r="G12" s="9">
        <v>40000000</v>
      </c>
      <c r="H12" s="9">
        <v>20000000</v>
      </c>
      <c r="I12" s="9">
        <v>20000000</v>
      </c>
      <c r="J12" s="9"/>
      <c r="K12" s="9">
        <v>20000000</v>
      </c>
    </row>
    <row r="13" spans="1:11">
      <c r="A13" t="s">
        <v>146</v>
      </c>
      <c r="B13" t="s">
        <v>491</v>
      </c>
      <c r="C13" t="s">
        <v>164</v>
      </c>
      <c r="D13" t="s">
        <v>257</v>
      </c>
      <c r="E13" t="s">
        <v>487</v>
      </c>
      <c r="F13" t="s">
        <v>44</v>
      </c>
      <c r="G13" s="9">
        <v>1495000000</v>
      </c>
      <c r="H13" s="9">
        <v>560000000</v>
      </c>
      <c r="I13" s="9">
        <v>935000000</v>
      </c>
      <c r="J13" s="9">
        <v>-516084790</v>
      </c>
      <c r="K13" s="9">
        <v>418915210</v>
      </c>
    </row>
    <row r="14" spans="1:11">
      <c r="A14" t="s">
        <v>166</v>
      </c>
      <c r="B14" t="s">
        <v>491</v>
      </c>
      <c r="C14" t="s">
        <v>492</v>
      </c>
      <c r="D14" t="s">
        <v>381</v>
      </c>
      <c r="E14" t="s">
        <v>487</v>
      </c>
      <c r="F14" t="s">
        <v>43</v>
      </c>
      <c r="G14" s="9">
        <v>124800000</v>
      </c>
      <c r="H14" s="9">
        <v>115200000</v>
      </c>
      <c r="I14" s="9">
        <v>9600000</v>
      </c>
      <c r="J14" s="9"/>
      <c r="K14" s="9">
        <v>9600000</v>
      </c>
    </row>
    <row r="15" spans="1:11">
      <c r="A15" t="s">
        <v>166</v>
      </c>
      <c r="B15" t="s">
        <v>491</v>
      </c>
      <c r="C15" t="s">
        <v>492</v>
      </c>
      <c r="D15" t="s">
        <v>381</v>
      </c>
      <c r="E15" t="s">
        <v>487</v>
      </c>
      <c r="F15" t="s">
        <v>46</v>
      </c>
      <c r="G15" s="9">
        <v>10000000</v>
      </c>
      <c r="H15" s="9">
        <v>7292830</v>
      </c>
      <c r="I15" s="9">
        <v>2707170</v>
      </c>
      <c r="J15" s="9"/>
      <c r="K15" s="9">
        <v>2707170</v>
      </c>
    </row>
    <row r="16" spans="1:11">
      <c r="A16" t="s">
        <v>166</v>
      </c>
      <c r="B16" t="s">
        <v>440</v>
      </c>
      <c r="C16" t="s">
        <v>493</v>
      </c>
      <c r="D16" t="s">
        <v>494</v>
      </c>
      <c r="E16" t="s">
        <v>487</v>
      </c>
      <c r="F16" t="s">
        <v>100</v>
      </c>
      <c r="G16" s="9">
        <v>10100000</v>
      </c>
      <c r="H16" s="9">
        <v>10550000</v>
      </c>
      <c r="I16" s="9">
        <v>-450000</v>
      </c>
      <c r="J16" s="9">
        <v>450000</v>
      </c>
      <c r="K16" s="9">
        <v>0</v>
      </c>
    </row>
    <row r="17" spans="1:11">
      <c r="A17" t="s">
        <v>166</v>
      </c>
      <c r="B17" t="s">
        <v>440</v>
      </c>
      <c r="C17" t="s">
        <v>493</v>
      </c>
      <c r="D17" t="s">
        <v>494</v>
      </c>
      <c r="E17" t="s">
        <v>487</v>
      </c>
      <c r="F17" t="s">
        <v>45</v>
      </c>
      <c r="G17" s="9">
        <v>9700000</v>
      </c>
      <c r="H17" s="9">
        <v>8699414</v>
      </c>
      <c r="I17" s="9">
        <v>1000586</v>
      </c>
      <c r="J17" s="9"/>
      <c r="K17" s="9">
        <v>1000586</v>
      </c>
    </row>
    <row r="18" spans="1:11">
      <c r="A18" t="s">
        <v>166</v>
      </c>
      <c r="B18" t="s">
        <v>440</v>
      </c>
      <c r="C18" t="s">
        <v>493</v>
      </c>
      <c r="D18" t="s">
        <v>494</v>
      </c>
      <c r="E18" t="s">
        <v>487</v>
      </c>
      <c r="F18" t="s">
        <v>43</v>
      </c>
      <c r="G18" s="9">
        <v>7200000</v>
      </c>
      <c r="H18" s="9">
        <v>6400000</v>
      </c>
      <c r="I18" s="9">
        <v>800000</v>
      </c>
      <c r="J18" s="9"/>
      <c r="K18" s="9">
        <v>800000</v>
      </c>
    </row>
    <row r="19" spans="1:11">
      <c r="A19" t="s">
        <v>166</v>
      </c>
      <c r="B19" t="s">
        <v>440</v>
      </c>
      <c r="C19" t="s">
        <v>493</v>
      </c>
      <c r="D19" t="s">
        <v>494</v>
      </c>
      <c r="E19" t="s">
        <v>487</v>
      </c>
      <c r="F19" t="s">
        <v>106</v>
      </c>
      <c r="G19" s="9">
        <v>1500000</v>
      </c>
      <c r="H19" s="9">
        <v>1500000</v>
      </c>
      <c r="I19" s="9">
        <v>0</v>
      </c>
      <c r="J19" s="9"/>
      <c r="K19" s="9">
        <v>0</v>
      </c>
    </row>
    <row r="20" spans="1:11">
      <c r="A20" t="s">
        <v>146</v>
      </c>
      <c r="B20" t="s">
        <v>491</v>
      </c>
      <c r="C20" t="s">
        <v>164</v>
      </c>
      <c r="D20" t="s">
        <v>257</v>
      </c>
      <c r="E20" t="s">
        <v>487</v>
      </c>
      <c r="F20" t="s">
        <v>133</v>
      </c>
      <c r="G20" s="9">
        <v>50000000</v>
      </c>
      <c r="H20" s="9">
        <v>51467600</v>
      </c>
      <c r="I20" s="9">
        <v>-1467600</v>
      </c>
      <c r="J20" s="9">
        <v>1467600</v>
      </c>
      <c r="K20" s="9">
        <v>0</v>
      </c>
    </row>
    <row r="21" spans="1:11">
      <c r="A21" t="s">
        <v>146</v>
      </c>
      <c r="B21" t="s">
        <v>491</v>
      </c>
      <c r="C21" t="s">
        <v>468</v>
      </c>
      <c r="D21" t="s">
        <v>451</v>
      </c>
      <c r="E21" t="s">
        <v>487</v>
      </c>
      <c r="F21" t="s">
        <v>106</v>
      </c>
      <c r="G21" s="9">
        <v>10000000</v>
      </c>
      <c r="H21" s="9">
        <v>13599770</v>
      </c>
      <c r="I21" s="9">
        <v>-3599770</v>
      </c>
      <c r="J21" s="9">
        <v>3599770</v>
      </c>
      <c r="K21" s="9">
        <v>0</v>
      </c>
    </row>
    <row r="22" spans="1:11">
      <c r="A22" t="s">
        <v>166</v>
      </c>
      <c r="B22" t="s">
        <v>495</v>
      </c>
      <c r="C22" t="s">
        <v>496</v>
      </c>
      <c r="D22" t="s">
        <v>283</v>
      </c>
      <c r="E22" t="s">
        <v>487</v>
      </c>
      <c r="F22" t="s">
        <v>497</v>
      </c>
      <c r="G22" s="9">
        <v>181936000</v>
      </c>
      <c r="H22" s="9">
        <v>181935483</v>
      </c>
      <c r="I22" s="9">
        <v>517</v>
      </c>
      <c r="J22" s="9"/>
      <c r="K22" s="9">
        <v>517</v>
      </c>
    </row>
    <row r="23" spans="1:11">
      <c r="A23" t="s">
        <v>166</v>
      </c>
      <c r="B23" t="s">
        <v>495</v>
      </c>
      <c r="C23" t="s">
        <v>496</v>
      </c>
      <c r="D23" t="s">
        <v>283</v>
      </c>
      <c r="E23" t="s">
        <v>487</v>
      </c>
      <c r="F23" t="s">
        <v>329</v>
      </c>
      <c r="G23" s="9">
        <v>19708000</v>
      </c>
      <c r="H23" s="9">
        <v>19707990</v>
      </c>
      <c r="I23" s="9">
        <v>10</v>
      </c>
      <c r="J23" s="9"/>
      <c r="K23" s="9">
        <v>10</v>
      </c>
    </row>
    <row r="24" spans="1:11">
      <c r="A24" t="s">
        <v>166</v>
      </c>
      <c r="B24" t="s">
        <v>495</v>
      </c>
      <c r="C24" t="s">
        <v>496</v>
      </c>
      <c r="D24" t="s">
        <v>283</v>
      </c>
      <c r="E24" t="s">
        <v>487</v>
      </c>
      <c r="F24" t="s">
        <v>490</v>
      </c>
      <c r="G24" s="9">
        <v>9000000</v>
      </c>
      <c r="H24" s="9">
        <v>9000000</v>
      </c>
      <c r="I24" s="9">
        <v>0</v>
      </c>
      <c r="J24" s="9"/>
      <c r="K24" s="9">
        <v>0</v>
      </c>
    </row>
    <row r="25" spans="1:11">
      <c r="A25" t="s">
        <v>181</v>
      </c>
      <c r="B25" t="s">
        <v>441</v>
      </c>
      <c r="C25" t="s">
        <v>235</v>
      </c>
      <c r="D25" t="s">
        <v>430</v>
      </c>
      <c r="E25" t="s">
        <v>487</v>
      </c>
      <c r="F25" t="s">
        <v>44</v>
      </c>
      <c r="G25" s="9">
        <v>53420000</v>
      </c>
      <c r="H25" s="9">
        <v>40600000</v>
      </c>
      <c r="I25" s="9">
        <v>12820000</v>
      </c>
      <c r="J25" s="9"/>
      <c r="K25" s="9">
        <v>12820000</v>
      </c>
    </row>
    <row r="26" spans="1:11">
      <c r="A26" t="s">
        <v>181</v>
      </c>
      <c r="B26" t="s">
        <v>441</v>
      </c>
      <c r="C26" t="s">
        <v>235</v>
      </c>
      <c r="D26" t="s">
        <v>430</v>
      </c>
      <c r="E26" t="s">
        <v>487</v>
      </c>
      <c r="F26" t="s">
        <v>46</v>
      </c>
      <c r="G26" s="9">
        <v>42284000</v>
      </c>
      <c r="H26" s="9">
        <v>40376000</v>
      </c>
      <c r="I26" s="9">
        <v>1908000</v>
      </c>
      <c r="J26" s="9"/>
      <c r="K26" s="9">
        <v>1908000</v>
      </c>
    </row>
    <row r="27" spans="1:11">
      <c r="A27" t="s">
        <v>181</v>
      </c>
      <c r="B27" t="s">
        <v>441</v>
      </c>
      <c r="C27" t="s">
        <v>235</v>
      </c>
      <c r="D27" t="s">
        <v>430</v>
      </c>
      <c r="E27" t="s">
        <v>442</v>
      </c>
      <c r="F27" t="s">
        <v>46</v>
      </c>
      <c r="G27" s="9">
        <v>44176000</v>
      </c>
      <c r="H27" s="9">
        <v>44176000</v>
      </c>
      <c r="I27" s="9">
        <v>0</v>
      </c>
      <c r="J27" s="9"/>
      <c r="K27" s="9">
        <v>0</v>
      </c>
    </row>
    <row r="28" spans="1:11">
      <c r="A28" t="s">
        <v>181</v>
      </c>
      <c r="B28" t="s">
        <v>441</v>
      </c>
      <c r="C28" t="s">
        <v>235</v>
      </c>
      <c r="D28" t="s">
        <v>430</v>
      </c>
      <c r="E28" t="s">
        <v>443</v>
      </c>
      <c r="F28" t="s">
        <v>46</v>
      </c>
      <c r="G28" s="9">
        <v>45952000</v>
      </c>
      <c r="H28" s="9">
        <v>45952000</v>
      </c>
      <c r="I28" s="9">
        <v>0</v>
      </c>
      <c r="J28" s="9"/>
      <c r="K28" s="9">
        <v>0</v>
      </c>
    </row>
    <row r="29" spans="1:11">
      <c r="A29" t="s">
        <v>181</v>
      </c>
      <c r="B29" t="s">
        <v>441</v>
      </c>
      <c r="C29" t="s">
        <v>235</v>
      </c>
      <c r="D29" t="s">
        <v>430</v>
      </c>
      <c r="E29" t="s">
        <v>444</v>
      </c>
      <c r="F29" t="s">
        <v>46</v>
      </c>
      <c r="G29" s="9">
        <v>22060000</v>
      </c>
      <c r="H29" s="9">
        <v>22060000</v>
      </c>
      <c r="I29" s="9">
        <v>0</v>
      </c>
      <c r="J29" s="9"/>
      <c r="K29" s="9">
        <v>0</v>
      </c>
    </row>
    <row r="30" spans="1:11">
      <c r="A30" t="s">
        <v>181</v>
      </c>
      <c r="B30" t="s">
        <v>441</v>
      </c>
      <c r="C30" t="s">
        <v>235</v>
      </c>
      <c r="D30" t="s">
        <v>430</v>
      </c>
      <c r="E30" t="s">
        <v>445</v>
      </c>
      <c r="F30" t="s">
        <v>46</v>
      </c>
      <c r="G30" s="9">
        <v>14892000</v>
      </c>
      <c r="H30" s="9">
        <v>14892000</v>
      </c>
      <c r="I30" s="9">
        <v>0</v>
      </c>
      <c r="J30" s="9"/>
      <c r="K30" s="9">
        <v>0</v>
      </c>
    </row>
    <row r="31" spans="1:11">
      <c r="A31" t="s">
        <v>181</v>
      </c>
      <c r="B31" t="s">
        <v>441</v>
      </c>
      <c r="C31" t="s">
        <v>235</v>
      </c>
      <c r="D31" t="s">
        <v>430</v>
      </c>
      <c r="E31" t="s">
        <v>446</v>
      </c>
      <c r="F31" t="s">
        <v>46</v>
      </c>
      <c r="G31" s="9">
        <v>46476000</v>
      </c>
      <c r="H31" s="9">
        <v>46476000</v>
      </c>
      <c r="I31" s="9">
        <v>0</v>
      </c>
      <c r="J31" s="9"/>
      <c r="K31" s="9">
        <v>0</v>
      </c>
    </row>
    <row r="32" spans="1:11">
      <c r="A32" t="s">
        <v>181</v>
      </c>
      <c r="B32" t="s">
        <v>441</v>
      </c>
      <c r="C32" t="s">
        <v>235</v>
      </c>
      <c r="D32" t="s">
        <v>430</v>
      </c>
      <c r="E32" t="s">
        <v>447</v>
      </c>
      <c r="F32" t="s">
        <v>46</v>
      </c>
      <c r="G32" s="9">
        <v>7796000</v>
      </c>
      <c r="H32" s="9">
        <v>7796000</v>
      </c>
      <c r="I32" s="9">
        <v>0</v>
      </c>
      <c r="J32" s="9"/>
      <c r="K32" s="9">
        <v>0</v>
      </c>
    </row>
    <row r="33" spans="1:11">
      <c r="A33" t="s">
        <v>181</v>
      </c>
      <c r="B33" t="s">
        <v>441</v>
      </c>
      <c r="C33" t="s">
        <v>235</v>
      </c>
      <c r="D33" t="s">
        <v>430</v>
      </c>
      <c r="E33" t="s">
        <v>448</v>
      </c>
      <c r="F33" t="s">
        <v>46</v>
      </c>
      <c r="G33" s="9">
        <v>5364000</v>
      </c>
      <c r="H33" s="9">
        <v>5364000</v>
      </c>
      <c r="I33" s="9">
        <v>0</v>
      </c>
      <c r="J33" s="9"/>
      <c r="K33" s="9">
        <v>0</v>
      </c>
    </row>
    <row r="34" spans="1:11">
      <c r="A34" t="s">
        <v>181</v>
      </c>
      <c r="B34" t="s">
        <v>441</v>
      </c>
      <c r="C34" t="s">
        <v>235</v>
      </c>
      <c r="D34" t="s">
        <v>430</v>
      </c>
      <c r="E34" t="s">
        <v>498</v>
      </c>
      <c r="F34" t="s">
        <v>46</v>
      </c>
      <c r="G34" s="9">
        <v>1000000</v>
      </c>
      <c r="H34" s="9">
        <v>1000000</v>
      </c>
      <c r="I34" s="9">
        <v>0</v>
      </c>
      <c r="J34" s="9"/>
      <c r="K34" s="9">
        <v>0</v>
      </c>
    </row>
    <row r="35" spans="1:11">
      <c r="A35" t="s">
        <v>181</v>
      </c>
      <c r="B35" t="s">
        <v>441</v>
      </c>
      <c r="C35" t="s">
        <v>235</v>
      </c>
      <c r="D35" t="s">
        <v>430</v>
      </c>
      <c r="E35" t="s">
        <v>487</v>
      </c>
      <c r="F35" t="s">
        <v>43</v>
      </c>
      <c r="G35" s="9">
        <v>68523000</v>
      </c>
      <c r="H35" s="9">
        <v>63723000</v>
      </c>
      <c r="I35" s="9">
        <v>4800000</v>
      </c>
      <c r="J35" s="9"/>
      <c r="K35" s="9">
        <v>4800000</v>
      </c>
    </row>
    <row r="36" spans="1:11">
      <c r="A36" t="s">
        <v>181</v>
      </c>
      <c r="B36" t="s">
        <v>441</v>
      </c>
      <c r="C36" t="s">
        <v>235</v>
      </c>
      <c r="D36" t="s">
        <v>430</v>
      </c>
      <c r="E36" t="s">
        <v>443</v>
      </c>
      <c r="F36" t="s">
        <v>43</v>
      </c>
      <c r="G36" s="9">
        <v>43200000</v>
      </c>
      <c r="H36" s="9">
        <v>43200000</v>
      </c>
      <c r="I36" s="9">
        <v>0</v>
      </c>
      <c r="J36" s="9"/>
      <c r="K36" s="9">
        <v>0</v>
      </c>
    </row>
    <row r="37" spans="1:11">
      <c r="A37" t="s">
        <v>181</v>
      </c>
      <c r="B37" t="s">
        <v>441</v>
      </c>
      <c r="C37" t="s">
        <v>235</v>
      </c>
      <c r="D37" t="s">
        <v>430</v>
      </c>
      <c r="E37" t="s">
        <v>445</v>
      </c>
      <c r="F37" t="s">
        <v>43</v>
      </c>
      <c r="G37" s="9">
        <v>21600000</v>
      </c>
      <c r="H37" s="9">
        <v>21600000</v>
      </c>
      <c r="I37" s="9">
        <v>0</v>
      </c>
      <c r="J37" s="9"/>
      <c r="K37" s="9">
        <v>0</v>
      </c>
    </row>
    <row r="38" spans="1:11">
      <c r="A38" t="s">
        <v>181</v>
      </c>
      <c r="B38" t="s">
        <v>441</v>
      </c>
      <c r="C38" t="s">
        <v>235</v>
      </c>
      <c r="D38" t="s">
        <v>430</v>
      </c>
      <c r="E38" t="s">
        <v>487</v>
      </c>
      <c r="F38" t="s">
        <v>45</v>
      </c>
      <c r="G38" s="9">
        <v>15000000</v>
      </c>
      <c r="H38" s="9">
        <v>15000000</v>
      </c>
      <c r="I38" s="9">
        <v>0</v>
      </c>
      <c r="J38" s="9"/>
      <c r="K38" s="9">
        <v>0</v>
      </c>
    </row>
    <row r="39" spans="1:11">
      <c r="A39" t="s">
        <v>181</v>
      </c>
      <c r="B39" t="s">
        <v>441</v>
      </c>
      <c r="C39" t="s">
        <v>235</v>
      </c>
      <c r="D39" t="s">
        <v>430</v>
      </c>
      <c r="E39" t="s">
        <v>487</v>
      </c>
      <c r="F39" t="s">
        <v>133</v>
      </c>
      <c r="G39" s="9">
        <v>19000000</v>
      </c>
      <c r="H39" s="9">
        <v>5000000</v>
      </c>
      <c r="I39" s="9">
        <v>14000000</v>
      </c>
      <c r="J39" s="9">
        <v>-14000000</v>
      </c>
      <c r="K39" s="9">
        <v>0</v>
      </c>
    </row>
    <row r="40" spans="1:11">
      <c r="A40" t="s">
        <v>181</v>
      </c>
      <c r="B40" t="s">
        <v>441</v>
      </c>
      <c r="C40" t="s">
        <v>235</v>
      </c>
      <c r="D40" t="s">
        <v>430</v>
      </c>
      <c r="E40" t="s">
        <v>487</v>
      </c>
      <c r="F40" t="s">
        <v>106</v>
      </c>
      <c r="G40" s="9">
        <v>10000000</v>
      </c>
      <c r="H40" s="9">
        <v>4470930</v>
      </c>
      <c r="I40" s="9">
        <v>5529070</v>
      </c>
      <c r="J40" s="9"/>
      <c r="K40" s="9">
        <v>5529070</v>
      </c>
    </row>
    <row r="41" spans="1:11">
      <c r="A41" t="s">
        <v>192</v>
      </c>
      <c r="B41" t="s">
        <v>499</v>
      </c>
      <c r="C41" t="s">
        <v>190</v>
      </c>
      <c r="D41" t="s">
        <v>268</v>
      </c>
      <c r="E41" t="s">
        <v>487</v>
      </c>
      <c r="F41" t="s">
        <v>191</v>
      </c>
      <c r="G41" s="9">
        <v>188179000</v>
      </c>
      <c r="H41" s="9">
        <v>172679000</v>
      </c>
      <c r="I41" s="9">
        <v>15500000</v>
      </c>
      <c r="J41" s="9">
        <v>-11945790</v>
      </c>
      <c r="K41" s="9">
        <v>3554210</v>
      </c>
    </row>
    <row r="42" spans="1:11">
      <c r="A42" t="s">
        <v>192</v>
      </c>
      <c r="B42" t="s">
        <v>499</v>
      </c>
      <c r="C42" t="s">
        <v>190</v>
      </c>
      <c r="D42" t="s">
        <v>268</v>
      </c>
      <c r="E42" t="s">
        <v>487</v>
      </c>
      <c r="F42" t="s">
        <v>100</v>
      </c>
      <c r="G42" s="9">
        <v>88500000</v>
      </c>
      <c r="H42" s="9">
        <v>88500000</v>
      </c>
      <c r="I42" s="9">
        <v>0</v>
      </c>
      <c r="J42" s="9"/>
      <c r="K42" s="9">
        <v>0</v>
      </c>
    </row>
    <row r="43" spans="1:11">
      <c r="A43" t="s">
        <v>192</v>
      </c>
      <c r="B43" t="s">
        <v>499</v>
      </c>
      <c r="C43" t="s">
        <v>190</v>
      </c>
      <c r="D43" t="s">
        <v>268</v>
      </c>
      <c r="E43" t="s">
        <v>487</v>
      </c>
      <c r="F43" t="s">
        <v>43</v>
      </c>
      <c r="G43" s="9">
        <v>6450000</v>
      </c>
      <c r="H43" s="9">
        <v>6450000</v>
      </c>
      <c r="I43" s="9">
        <v>0</v>
      </c>
      <c r="J43" s="9"/>
      <c r="K43" s="9">
        <v>0</v>
      </c>
    </row>
    <row r="44" spans="1:11">
      <c r="A44" t="s">
        <v>192</v>
      </c>
      <c r="B44" t="s">
        <v>499</v>
      </c>
      <c r="C44" t="s">
        <v>190</v>
      </c>
      <c r="D44" t="s">
        <v>268</v>
      </c>
      <c r="E44" t="s">
        <v>487</v>
      </c>
      <c r="F44" t="s">
        <v>132</v>
      </c>
      <c r="G44" s="9">
        <v>1800000</v>
      </c>
      <c r="H44" s="9">
        <v>1000000</v>
      </c>
      <c r="I44" s="9">
        <v>800000</v>
      </c>
      <c r="J44" s="9"/>
      <c r="K44" s="9">
        <v>800000</v>
      </c>
    </row>
    <row r="45" spans="1:11">
      <c r="A45" t="s">
        <v>192</v>
      </c>
      <c r="B45" t="s">
        <v>499</v>
      </c>
      <c r="C45" t="s">
        <v>190</v>
      </c>
      <c r="D45" t="s">
        <v>268</v>
      </c>
      <c r="E45" t="s">
        <v>487</v>
      </c>
      <c r="F45" t="s">
        <v>45</v>
      </c>
      <c r="G45" s="9">
        <v>1600000</v>
      </c>
      <c r="H45" s="9">
        <v>900000</v>
      </c>
      <c r="I45" s="9">
        <v>700000</v>
      </c>
      <c r="J45" s="9"/>
      <c r="K45" s="9">
        <v>700000</v>
      </c>
    </row>
    <row r="46" spans="1:11">
      <c r="A46" t="s">
        <v>166</v>
      </c>
      <c r="B46" t="s">
        <v>449</v>
      </c>
      <c r="C46" t="s">
        <v>194</v>
      </c>
      <c r="D46" t="s">
        <v>283</v>
      </c>
      <c r="E46" t="s">
        <v>487</v>
      </c>
      <c r="F46" t="s">
        <v>195</v>
      </c>
      <c r="G46" s="9">
        <v>100000000</v>
      </c>
      <c r="H46" s="9">
        <v>10842400</v>
      </c>
      <c r="I46" s="9">
        <v>89157600</v>
      </c>
      <c r="J46" s="9">
        <v>-17941000</v>
      </c>
      <c r="K46" s="9">
        <v>71216600</v>
      </c>
    </row>
    <row r="47" spans="1:11">
      <c r="A47" t="s">
        <v>166</v>
      </c>
      <c r="B47" t="s">
        <v>449</v>
      </c>
      <c r="C47" t="s">
        <v>194</v>
      </c>
      <c r="D47" t="s">
        <v>283</v>
      </c>
      <c r="E47" t="s">
        <v>487</v>
      </c>
      <c r="F47" t="s">
        <v>46</v>
      </c>
      <c r="G47" s="9">
        <v>170</v>
      </c>
      <c r="H47" s="9">
        <v>0</v>
      </c>
      <c r="I47" s="9">
        <v>170</v>
      </c>
      <c r="J47" s="9"/>
      <c r="K47" s="9">
        <v>170</v>
      </c>
    </row>
    <row r="48" spans="1:11">
      <c r="A48" t="s">
        <v>166</v>
      </c>
      <c r="B48" t="s">
        <v>449</v>
      </c>
      <c r="C48" t="s">
        <v>194</v>
      </c>
      <c r="D48" t="s">
        <v>283</v>
      </c>
      <c r="E48" t="s">
        <v>450</v>
      </c>
      <c r="F48" t="s">
        <v>46</v>
      </c>
      <c r="G48" s="9">
        <v>130701830</v>
      </c>
      <c r="H48" s="9">
        <v>100284340</v>
      </c>
      <c r="I48" s="9">
        <v>30417490</v>
      </c>
      <c r="J48" s="9"/>
      <c r="K48" s="9">
        <v>30417490</v>
      </c>
    </row>
    <row r="49" spans="1:11">
      <c r="A49" t="s">
        <v>166</v>
      </c>
      <c r="B49" t="s">
        <v>449</v>
      </c>
      <c r="C49" t="s">
        <v>194</v>
      </c>
      <c r="D49" t="s">
        <v>283</v>
      </c>
      <c r="E49" t="s">
        <v>487</v>
      </c>
      <c r="F49" t="s">
        <v>44</v>
      </c>
      <c r="G49" s="9">
        <v>35000000</v>
      </c>
      <c r="H49" s="9">
        <v>32912000</v>
      </c>
      <c r="I49" s="9">
        <v>2088000</v>
      </c>
      <c r="J49" s="9"/>
      <c r="K49" s="9">
        <v>2088000</v>
      </c>
    </row>
    <row r="50" spans="1:11">
      <c r="A50" t="s">
        <v>166</v>
      </c>
      <c r="B50" t="s">
        <v>449</v>
      </c>
      <c r="C50" t="s">
        <v>194</v>
      </c>
      <c r="D50" t="s">
        <v>283</v>
      </c>
      <c r="E50" t="s">
        <v>487</v>
      </c>
      <c r="F50" t="s">
        <v>43</v>
      </c>
      <c r="G50" s="9">
        <v>0</v>
      </c>
      <c r="H50" s="9">
        <v>0</v>
      </c>
      <c r="I50" s="9">
        <v>0</v>
      </c>
      <c r="J50" s="9"/>
      <c r="K50" s="9">
        <v>0</v>
      </c>
    </row>
    <row r="51" spans="1:11">
      <c r="A51" t="s">
        <v>166</v>
      </c>
      <c r="B51" t="s">
        <v>449</v>
      </c>
      <c r="C51" t="s">
        <v>194</v>
      </c>
      <c r="D51" t="s">
        <v>283</v>
      </c>
      <c r="E51" t="s">
        <v>450</v>
      </c>
      <c r="F51" t="s">
        <v>43</v>
      </c>
      <c r="G51" s="9">
        <v>52620000</v>
      </c>
      <c r="H51" s="9">
        <v>34130730</v>
      </c>
      <c r="I51" s="9">
        <v>18489270</v>
      </c>
      <c r="J51" s="9"/>
      <c r="K51" s="9">
        <v>18489270</v>
      </c>
    </row>
    <row r="52" spans="1:11">
      <c r="A52" t="s">
        <v>166</v>
      </c>
      <c r="B52" t="s">
        <v>449</v>
      </c>
      <c r="C52" t="s">
        <v>194</v>
      </c>
      <c r="D52" t="s">
        <v>283</v>
      </c>
      <c r="E52" t="s">
        <v>487</v>
      </c>
      <c r="F52" t="s">
        <v>100</v>
      </c>
      <c r="G52" s="9">
        <v>3221</v>
      </c>
      <c r="H52" s="9">
        <v>0</v>
      </c>
      <c r="I52" s="9">
        <v>3221</v>
      </c>
      <c r="J52" s="9"/>
      <c r="K52" s="9">
        <v>3221</v>
      </c>
    </row>
    <row r="53" spans="1:11">
      <c r="A53" t="s">
        <v>166</v>
      </c>
      <c r="B53" t="s">
        <v>449</v>
      </c>
      <c r="C53" t="s">
        <v>194</v>
      </c>
      <c r="D53" t="s">
        <v>283</v>
      </c>
      <c r="E53" t="s">
        <v>450</v>
      </c>
      <c r="F53" t="s">
        <v>100</v>
      </c>
      <c r="G53" s="9">
        <v>105226779</v>
      </c>
      <c r="H53" s="9">
        <v>73746779</v>
      </c>
      <c r="I53" s="9">
        <v>31480000</v>
      </c>
      <c r="J53" s="9"/>
      <c r="K53" s="9">
        <v>31480000</v>
      </c>
    </row>
    <row r="54" spans="1:11">
      <c r="A54" t="s">
        <v>166</v>
      </c>
      <c r="B54" t="s">
        <v>491</v>
      </c>
      <c r="C54" t="s">
        <v>500</v>
      </c>
      <c r="D54" t="s">
        <v>381</v>
      </c>
      <c r="E54" t="s">
        <v>487</v>
      </c>
      <c r="F54" t="s">
        <v>106</v>
      </c>
      <c r="G54" s="9">
        <v>3500000</v>
      </c>
      <c r="H54" s="9">
        <v>2304650</v>
      </c>
      <c r="I54" s="9">
        <v>1195350</v>
      </c>
      <c r="J54" s="9"/>
      <c r="K54" s="9">
        <v>1195350</v>
      </c>
    </row>
    <row r="55" spans="1:11">
      <c r="A55" t="s">
        <v>166</v>
      </c>
      <c r="B55" t="s">
        <v>449</v>
      </c>
      <c r="C55" t="s">
        <v>194</v>
      </c>
      <c r="D55" t="s">
        <v>283</v>
      </c>
      <c r="E55" t="s">
        <v>487</v>
      </c>
      <c r="F55" t="s">
        <v>106</v>
      </c>
      <c r="G55" s="9">
        <v>2000000</v>
      </c>
      <c r="H55" s="9">
        <v>1335491</v>
      </c>
      <c r="I55" s="9">
        <v>664509</v>
      </c>
      <c r="J55" s="9"/>
      <c r="K55" s="9">
        <v>664509</v>
      </c>
    </row>
    <row r="56" spans="1:11">
      <c r="A56" t="s">
        <v>192</v>
      </c>
      <c r="B56" t="s">
        <v>501</v>
      </c>
      <c r="C56" t="s">
        <v>200</v>
      </c>
      <c r="D56" t="s">
        <v>270</v>
      </c>
      <c r="E56" t="s">
        <v>487</v>
      </c>
      <c r="F56" t="s">
        <v>44</v>
      </c>
      <c r="G56" s="9">
        <v>0</v>
      </c>
      <c r="H56" s="9">
        <v>0</v>
      </c>
      <c r="I56" s="9">
        <v>0</v>
      </c>
      <c r="J56" s="9"/>
      <c r="K56" s="9">
        <v>0</v>
      </c>
    </row>
    <row r="57" spans="1:11">
      <c r="A57" t="s">
        <v>192</v>
      </c>
      <c r="B57" t="s">
        <v>501</v>
      </c>
      <c r="C57" t="s">
        <v>200</v>
      </c>
      <c r="D57" t="s">
        <v>270</v>
      </c>
      <c r="E57" t="s">
        <v>487</v>
      </c>
      <c r="F57" t="s">
        <v>46</v>
      </c>
      <c r="G57" s="9">
        <v>81767000</v>
      </c>
      <c r="H57" s="9">
        <v>51213900</v>
      </c>
      <c r="I57" s="9">
        <v>30553100</v>
      </c>
      <c r="J57" s="9"/>
      <c r="K57" s="9">
        <v>30553100</v>
      </c>
    </row>
    <row r="58" spans="1:11">
      <c r="A58" t="s">
        <v>192</v>
      </c>
      <c r="B58" t="s">
        <v>501</v>
      </c>
      <c r="C58" t="s">
        <v>200</v>
      </c>
      <c r="D58" t="s">
        <v>270</v>
      </c>
      <c r="E58" t="s">
        <v>487</v>
      </c>
      <c r="F58" t="s">
        <v>43</v>
      </c>
      <c r="G58" s="9">
        <v>114400000</v>
      </c>
      <c r="H58" s="9">
        <v>100800000</v>
      </c>
      <c r="I58" s="9">
        <v>13600000</v>
      </c>
      <c r="J58" s="9"/>
      <c r="K58" s="9">
        <v>13600000</v>
      </c>
    </row>
    <row r="59" spans="1:11">
      <c r="A59" t="s">
        <v>192</v>
      </c>
      <c r="B59" t="s">
        <v>501</v>
      </c>
      <c r="C59" t="s">
        <v>200</v>
      </c>
      <c r="D59" t="s">
        <v>270</v>
      </c>
      <c r="E59" t="s">
        <v>487</v>
      </c>
      <c r="F59" t="s">
        <v>106</v>
      </c>
      <c r="G59" s="9">
        <v>5000000</v>
      </c>
      <c r="H59" s="9">
        <v>1460600</v>
      </c>
      <c r="I59" s="9">
        <v>3539400</v>
      </c>
      <c r="J59" s="9"/>
      <c r="K59" s="9">
        <v>3539400</v>
      </c>
    </row>
    <row r="60" spans="1:11">
      <c r="A60" t="s">
        <v>192</v>
      </c>
      <c r="B60" t="s">
        <v>440</v>
      </c>
      <c r="C60" t="s">
        <v>502</v>
      </c>
      <c r="D60" t="s">
        <v>271</v>
      </c>
      <c r="E60" t="s">
        <v>487</v>
      </c>
      <c r="F60" t="s">
        <v>43</v>
      </c>
      <c r="G60" s="9">
        <v>51608000</v>
      </c>
      <c r="H60" s="9">
        <v>84960933</v>
      </c>
      <c r="I60" s="9">
        <v>-33352933</v>
      </c>
      <c r="J60" s="9">
        <v>33352933</v>
      </c>
      <c r="K60" s="9">
        <v>0</v>
      </c>
    </row>
    <row r="61" spans="1:11">
      <c r="A61" t="s">
        <v>192</v>
      </c>
      <c r="B61" t="s">
        <v>440</v>
      </c>
      <c r="C61" t="s">
        <v>503</v>
      </c>
      <c r="D61" t="s">
        <v>270</v>
      </c>
      <c r="E61" t="s">
        <v>487</v>
      </c>
      <c r="F61" t="s">
        <v>100</v>
      </c>
      <c r="G61" s="9">
        <v>25300000</v>
      </c>
      <c r="H61" s="9">
        <v>19300000</v>
      </c>
      <c r="I61" s="9">
        <v>6000000</v>
      </c>
      <c r="J61" s="9">
        <v>-6000000</v>
      </c>
      <c r="K61" s="9">
        <v>0</v>
      </c>
    </row>
    <row r="62" spans="1:11">
      <c r="A62" t="s">
        <v>192</v>
      </c>
      <c r="B62" t="s">
        <v>440</v>
      </c>
      <c r="C62" t="s">
        <v>503</v>
      </c>
      <c r="D62" t="s">
        <v>270</v>
      </c>
      <c r="E62" t="s">
        <v>487</v>
      </c>
      <c r="F62" t="s">
        <v>132</v>
      </c>
      <c r="G62" s="9">
        <v>2000000</v>
      </c>
      <c r="H62" s="9">
        <v>1000000</v>
      </c>
      <c r="I62" s="9">
        <v>1000000</v>
      </c>
      <c r="J62" s="9"/>
      <c r="K62" s="9">
        <v>1000000</v>
      </c>
    </row>
    <row r="63" spans="1:11">
      <c r="A63" t="s">
        <v>192</v>
      </c>
      <c r="B63" t="s">
        <v>440</v>
      </c>
      <c r="C63" t="s">
        <v>503</v>
      </c>
      <c r="D63" t="s">
        <v>270</v>
      </c>
      <c r="E63" t="s">
        <v>487</v>
      </c>
      <c r="F63" t="s">
        <v>45</v>
      </c>
      <c r="G63" s="9">
        <v>13210000</v>
      </c>
      <c r="H63" s="9">
        <v>11621000</v>
      </c>
      <c r="I63" s="9">
        <v>1589000</v>
      </c>
      <c r="J63" s="9"/>
      <c r="K63" s="9">
        <v>1589000</v>
      </c>
    </row>
    <row r="64" spans="1:11">
      <c r="A64" t="s">
        <v>192</v>
      </c>
      <c r="B64" t="s">
        <v>440</v>
      </c>
      <c r="C64" t="s">
        <v>503</v>
      </c>
      <c r="D64" t="s">
        <v>270</v>
      </c>
      <c r="E64" t="s">
        <v>487</v>
      </c>
      <c r="F64" t="s">
        <v>43</v>
      </c>
      <c r="G64" s="9">
        <v>2000000</v>
      </c>
      <c r="H64" s="9">
        <v>30840000</v>
      </c>
      <c r="I64" s="9">
        <v>-28840000</v>
      </c>
      <c r="J64" s="9">
        <v>28840000</v>
      </c>
      <c r="K64" s="9">
        <v>0</v>
      </c>
    </row>
    <row r="65" spans="1:11">
      <c r="A65" t="s">
        <v>192</v>
      </c>
      <c r="B65" t="s">
        <v>440</v>
      </c>
      <c r="C65" t="s">
        <v>503</v>
      </c>
      <c r="D65" t="s">
        <v>270</v>
      </c>
      <c r="E65" t="s">
        <v>487</v>
      </c>
      <c r="F65" t="s">
        <v>191</v>
      </c>
      <c r="G65" s="9">
        <v>34290000</v>
      </c>
      <c r="H65" s="9">
        <v>35139000</v>
      </c>
      <c r="I65" s="9">
        <v>-849000</v>
      </c>
      <c r="J65" s="9">
        <v>849000</v>
      </c>
      <c r="K65" s="9">
        <v>0</v>
      </c>
    </row>
    <row r="66" spans="1:11">
      <c r="A66" t="s">
        <v>192</v>
      </c>
      <c r="B66" t="s">
        <v>440</v>
      </c>
      <c r="C66" t="s">
        <v>503</v>
      </c>
      <c r="D66" t="s">
        <v>270</v>
      </c>
      <c r="E66" t="s">
        <v>487</v>
      </c>
      <c r="F66" t="s">
        <v>195</v>
      </c>
      <c r="G66" s="9"/>
      <c r="H66" s="9">
        <v>105000</v>
      </c>
      <c r="I66" s="9">
        <v>-105000</v>
      </c>
      <c r="J66" s="9">
        <v>105000</v>
      </c>
      <c r="K66" s="9">
        <v>0</v>
      </c>
    </row>
    <row r="67" spans="1:11">
      <c r="A67" t="s">
        <v>192</v>
      </c>
      <c r="B67" t="s">
        <v>440</v>
      </c>
      <c r="C67" t="s">
        <v>502</v>
      </c>
      <c r="D67" t="s">
        <v>271</v>
      </c>
      <c r="E67" t="s">
        <v>487</v>
      </c>
      <c r="F67" t="s">
        <v>106</v>
      </c>
      <c r="G67" s="9">
        <v>8240000</v>
      </c>
      <c r="H67" s="9">
        <v>6740000</v>
      </c>
      <c r="I67" s="9">
        <v>1500000</v>
      </c>
      <c r="J67" s="9"/>
      <c r="K67" s="9">
        <v>1500000</v>
      </c>
    </row>
    <row r="68" spans="1:11">
      <c r="A68" t="s">
        <v>146</v>
      </c>
      <c r="B68" t="s">
        <v>440</v>
      </c>
      <c r="C68" t="s">
        <v>504</v>
      </c>
      <c r="D68" t="s">
        <v>451</v>
      </c>
      <c r="E68" t="s">
        <v>487</v>
      </c>
      <c r="F68" t="s">
        <v>46</v>
      </c>
      <c r="G68" s="9">
        <v>72000000</v>
      </c>
      <c r="H68" s="9">
        <v>72000000</v>
      </c>
      <c r="I68" s="9">
        <v>0</v>
      </c>
      <c r="J68" s="9"/>
      <c r="K68" s="9">
        <v>0</v>
      </c>
    </row>
    <row r="69" spans="1:11">
      <c r="A69" t="s">
        <v>146</v>
      </c>
      <c r="B69" t="s">
        <v>440</v>
      </c>
      <c r="C69" t="s">
        <v>504</v>
      </c>
      <c r="D69" t="s">
        <v>451</v>
      </c>
      <c r="E69" t="s">
        <v>487</v>
      </c>
      <c r="F69" t="s">
        <v>43</v>
      </c>
      <c r="G69" s="9">
        <v>47000000</v>
      </c>
      <c r="H69" s="9">
        <v>47000000</v>
      </c>
      <c r="I69" s="9">
        <v>0</v>
      </c>
      <c r="J69" s="9"/>
      <c r="K69" s="9">
        <v>0</v>
      </c>
    </row>
    <row r="70" spans="1:11">
      <c r="A70" t="s">
        <v>146</v>
      </c>
      <c r="B70" t="s">
        <v>440</v>
      </c>
      <c r="C70" t="s">
        <v>504</v>
      </c>
      <c r="D70" t="s">
        <v>451</v>
      </c>
      <c r="E70" t="s">
        <v>487</v>
      </c>
      <c r="F70" t="s">
        <v>100</v>
      </c>
      <c r="G70" s="9">
        <v>24000000</v>
      </c>
      <c r="H70" s="9">
        <v>24000000</v>
      </c>
      <c r="I70" s="9">
        <v>0</v>
      </c>
      <c r="J70" s="9"/>
      <c r="K70" s="9">
        <v>0</v>
      </c>
    </row>
    <row r="71" spans="1:11">
      <c r="A71" t="s">
        <v>146</v>
      </c>
      <c r="B71" t="s">
        <v>440</v>
      </c>
      <c r="C71" t="s">
        <v>504</v>
      </c>
      <c r="D71" t="s">
        <v>451</v>
      </c>
      <c r="E71" t="s">
        <v>487</v>
      </c>
      <c r="F71" t="s">
        <v>45</v>
      </c>
      <c r="G71" s="9">
        <v>16000000</v>
      </c>
      <c r="H71" s="9">
        <v>5000000</v>
      </c>
      <c r="I71" s="9">
        <v>11000000</v>
      </c>
      <c r="J71" s="9"/>
      <c r="K71" s="9">
        <v>11000000</v>
      </c>
    </row>
    <row r="72" spans="1:11">
      <c r="A72" t="s">
        <v>146</v>
      </c>
      <c r="B72" t="s">
        <v>440</v>
      </c>
      <c r="C72" t="s">
        <v>504</v>
      </c>
      <c r="D72" t="s">
        <v>451</v>
      </c>
      <c r="E72" t="s">
        <v>487</v>
      </c>
      <c r="F72" t="s">
        <v>133</v>
      </c>
      <c r="G72" s="9"/>
      <c r="H72" s="9">
        <v>11000000</v>
      </c>
      <c r="I72" s="9">
        <v>-11000000</v>
      </c>
      <c r="J72" s="9">
        <v>11000000</v>
      </c>
      <c r="K72" s="9">
        <v>0</v>
      </c>
    </row>
    <row r="73" spans="1:11">
      <c r="A73" t="s">
        <v>192</v>
      </c>
      <c r="B73" t="s">
        <v>440</v>
      </c>
      <c r="C73" t="s">
        <v>502</v>
      </c>
      <c r="D73" t="s">
        <v>271</v>
      </c>
      <c r="E73" t="s">
        <v>487</v>
      </c>
      <c r="F73" t="s">
        <v>100</v>
      </c>
      <c r="G73" s="9">
        <v>0</v>
      </c>
      <c r="H73" s="9">
        <v>0</v>
      </c>
      <c r="I73" s="9">
        <v>0</v>
      </c>
      <c r="J73" s="9"/>
      <c r="K73" s="9">
        <v>0</v>
      </c>
    </row>
    <row r="74" spans="1:11">
      <c r="A74" t="s">
        <v>192</v>
      </c>
      <c r="B74" t="s">
        <v>440</v>
      </c>
      <c r="C74" t="s">
        <v>502</v>
      </c>
      <c r="D74" t="s">
        <v>271</v>
      </c>
      <c r="E74" t="s">
        <v>487</v>
      </c>
      <c r="F74" t="s">
        <v>191</v>
      </c>
      <c r="G74" s="9">
        <v>2387000</v>
      </c>
      <c r="H74" s="9">
        <v>3167000</v>
      </c>
      <c r="I74" s="9">
        <v>-780000</v>
      </c>
      <c r="J74" s="9">
        <v>780000</v>
      </c>
      <c r="K74" s="9">
        <v>0</v>
      </c>
    </row>
    <row r="75" spans="1:11">
      <c r="A75" t="s">
        <v>192</v>
      </c>
      <c r="B75" t="s">
        <v>505</v>
      </c>
      <c r="C75" t="s">
        <v>460</v>
      </c>
      <c r="D75" t="s">
        <v>270</v>
      </c>
      <c r="E75" t="s">
        <v>487</v>
      </c>
      <c r="F75" t="s">
        <v>43</v>
      </c>
      <c r="G75" s="9">
        <v>256200000</v>
      </c>
      <c r="H75" s="9">
        <v>223321400</v>
      </c>
      <c r="I75" s="9">
        <v>32878600</v>
      </c>
      <c r="J75" s="9"/>
      <c r="K75" s="9">
        <v>32878600</v>
      </c>
    </row>
    <row r="76" spans="1:11">
      <c r="A76" t="s">
        <v>192</v>
      </c>
      <c r="B76" t="s">
        <v>505</v>
      </c>
      <c r="C76" t="s">
        <v>460</v>
      </c>
      <c r="D76" t="s">
        <v>270</v>
      </c>
      <c r="E76" t="s">
        <v>487</v>
      </c>
      <c r="F76" t="s">
        <v>46</v>
      </c>
      <c r="G76" s="9">
        <v>9000000</v>
      </c>
      <c r="H76" s="9">
        <v>8417070</v>
      </c>
      <c r="I76" s="9">
        <v>582930</v>
      </c>
      <c r="J76" s="9"/>
      <c r="K76" s="9">
        <v>582930</v>
      </c>
    </row>
    <row r="77" spans="1:11">
      <c r="A77" t="s">
        <v>192</v>
      </c>
      <c r="B77" t="s">
        <v>506</v>
      </c>
      <c r="C77" t="s">
        <v>209</v>
      </c>
      <c r="D77" t="s">
        <v>268</v>
      </c>
      <c r="E77" t="s">
        <v>487</v>
      </c>
      <c r="F77" t="s">
        <v>44</v>
      </c>
      <c r="G77" s="9">
        <v>31000000</v>
      </c>
      <c r="H77" s="9">
        <v>29418020</v>
      </c>
      <c r="I77" s="9">
        <v>1581980</v>
      </c>
      <c r="J77" s="9"/>
      <c r="K77" s="9">
        <v>1581980</v>
      </c>
    </row>
    <row r="78" spans="1:11">
      <c r="A78" t="s">
        <v>192</v>
      </c>
      <c r="B78" t="s">
        <v>506</v>
      </c>
      <c r="C78" t="s">
        <v>209</v>
      </c>
      <c r="D78" t="s">
        <v>271</v>
      </c>
      <c r="E78" t="s">
        <v>487</v>
      </c>
      <c r="F78" t="s">
        <v>100</v>
      </c>
      <c r="G78" s="9">
        <v>865800000</v>
      </c>
      <c r="H78" s="9">
        <v>873800000</v>
      </c>
      <c r="I78" s="9">
        <v>-8000000</v>
      </c>
      <c r="J78" s="9">
        <v>8000000</v>
      </c>
      <c r="K78" s="9">
        <v>0</v>
      </c>
    </row>
    <row r="79" spans="1:11">
      <c r="A79" t="s">
        <v>192</v>
      </c>
      <c r="B79" t="s">
        <v>506</v>
      </c>
      <c r="C79" t="s">
        <v>209</v>
      </c>
      <c r="D79" t="s">
        <v>271</v>
      </c>
      <c r="E79" t="s">
        <v>487</v>
      </c>
      <c r="F79" t="s">
        <v>191</v>
      </c>
      <c r="G79" s="9">
        <v>118212890</v>
      </c>
      <c r="H79" s="9">
        <v>118212890</v>
      </c>
      <c r="I79" s="9">
        <v>0</v>
      </c>
      <c r="J79" s="9"/>
      <c r="K79" s="9">
        <v>0</v>
      </c>
    </row>
    <row r="80" spans="1:11">
      <c r="A80" t="s">
        <v>192</v>
      </c>
      <c r="B80" t="s">
        <v>440</v>
      </c>
      <c r="C80" t="s">
        <v>502</v>
      </c>
      <c r="D80" t="s">
        <v>271</v>
      </c>
      <c r="E80" t="s">
        <v>452</v>
      </c>
      <c r="F80" t="s">
        <v>191</v>
      </c>
      <c r="G80" s="9">
        <v>17817220</v>
      </c>
      <c r="H80" s="9">
        <v>17817220</v>
      </c>
      <c r="I80" s="9">
        <v>0</v>
      </c>
      <c r="J80" s="9"/>
      <c r="K80" s="9">
        <v>0</v>
      </c>
    </row>
    <row r="81" spans="1:11">
      <c r="A81" t="s">
        <v>192</v>
      </c>
      <c r="B81" t="s">
        <v>440</v>
      </c>
      <c r="C81" t="s">
        <v>502</v>
      </c>
      <c r="D81" t="s">
        <v>271</v>
      </c>
      <c r="E81" t="s">
        <v>453</v>
      </c>
      <c r="F81" t="s">
        <v>191</v>
      </c>
      <c r="G81" s="9">
        <v>20000000</v>
      </c>
      <c r="H81" s="9">
        <v>20000000</v>
      </c>
      <c r="I81" s="9">
        <v>0</v>
      </c>
      <c r="J81" s="9"/>
      <c r="K81" s="9">
        <v>0</v>
      </c>
    </row>
    <row r="82" spans="1:11">
      <c r="A82" t="s">
        <v>192</v>
      </c>
      <c r="B82" t="s">
        <v>440</v>
      </c>
      <c r="C82" t="s">
        <v>502</v>
      </c>
      <c r="D82" t="s">
        <v>271</v>
      </c>
      <c r="E82" t="s">
        <v>454</v>
      </c>
      <c r="F82" t="s">
        <v>191</v>
      </c>
      <c r="G82" s="9">
        <v>7881310</v>
      </c>
      <c r="H82" s="9">
        <v>7881310</v>
      </c>
      <c r="I82" s="9">
        <v>0</v>
      </c>
      <c r="J82" s="9"/>
      <c r="K82" s="9">
        <v>0</v>
      </c>
    </row>
    <row r="83" spans="1:11">
      <c r="A83" t="s">
        <v>192</v>
      </c>
      <c r="B83" t="s">
        <v>440</v>
      </c>
      <c r="C83" t="s">
        <v>502</v>
      </c>
      <c r="D83" t="s">
        <v>271</v>
      </c>
      <c r="E83" t="s">
        <v>455</v>
      </c>
      <c r="F83" t="s">
        <v>191</v>
      </c>
      <c r="G83" s="9">
        <v>19218580</v>
      </c>
      <c r="H83" s="9">
        <v>19218580</v>
      </c>
      <c r="I83" s="9">
        <v>0</v>
      </c>
      <c r="J83" s="9"/>
      <c r="K83" s="9">
        <v>0</v>
      </c>
    </row>
    <row r="84" spans="1:11">
      <c r="A84" t="s">
        <v>192</v>
      </c>
      <c r="B84" t="s">
        <v>440</v>
      </c>
      <c r="C84" t="s">
        <v>502</v>
      </c>
      <c r="D84" t="s">
        <v>271</v>
      </c>
      <c r="E84" t="s">
        <v>442</v>
      </c>
      <c r="F84" t="s">
        <v>191</v>
      </c>
      <c r="G84" s="9">
        <v>100000000</v>
      </c>
      <c r="H84" s="9">
        <v>100000000</v>
      </c>
      <c r="I84" s="9">
        <v>0</v>
      </c>
      <c r="J84" s="9"/>
      <c r="K84" s="9">
        <v>0</v>
      </c>
    </row>
    <row r="85" spans="1:11">
      <c r="A85" t="s">
        <v>192</v>
      </c>
      <c r="B85" t="s">
        <v>440</v>
      </c>
      <c r="C85" t="s">
        <v>502</v>
      </c>
      <c r="D85" t="s">
        <v>271</v>
      </c>
      <c r="E85" t="s">
        <v>444</v>
      </c>
      <c r="F85" t="s">
        <v>191</v>
      </c>
      <c r="G85" s="9">
        <v>139300000</v>
      </c>
      <c r="H85" s="9">
        <v>139300000</v>
      </c>
      <c r="I85" s="9">
        <v>0</v>
      </c>
      <c r="J85" s="9"/>
      <c r="K85" s="9">
        <v>0</v>
      </c>
    </row>
    <row r="86" spans="1:11">
      <c r="A86" t="s">
        <v>192</v>
      </c>
      <c r="B86" t="s">
        <v>440</v>
      </c>
      <c r="C86" t="s">
        <v>502</v>
      </c>
      <c r="D86" t="s">
        <v>271</v>
      </c>
      <c r="E86" t="s">
        <v>444</v>
      </c>
      <c r="F86" t="s">
        <v>100</v>
      </c>
      <c r="G86" s="9">
        <v>13000000</v>
      </c>
      <c r="H86" s="9">
        <v>13000000</v>
      </c>
      <c r="I86" s="9">
        <v>0</v>
      </c>
      <c r="J86" s="9"/>
      <c r="K86" s="9">
        <v>0</v>
      </c>
    </row>
    <row r="87" spans="1:11">
      <c r="A87" t="s">
        <v>192</v>
      </c>
      <c r="B87" t="s">
        <v>440</v>
      </c>
      <c r="C87" t="s">
        <v>502</v>
      </c>
      <c r="D87" t="s">
        <v>271</v>
      </c>
      <c r="E87" t="s">
        <v>445</v>
      </c>
      <c r="F87" t="s">
        <v>191</v>
      </c>
      <c r="G87" s="9">
        <v>99500000</v>
      </c>
      <c r="H87" s="9">
        <v>99500000</v>
      </c>
      <c r="I87" s="9">
        <v>0</v>
      </c>
      <c r="J87" s="9"/>
      <c r="K87" s="9">
        <v>0</v>
      </c>
    </row>
    <row r="88" spans="1:11">
      <c r="A88" t="s">
        <v>192</v>
      </c>
      <c r="B88" t="s">
        <v>440</v>
      </c>
      <c r="C88" t="s">
        <v>502</v>
      </c>
      <c r="D88" t="s">
        <v>271</v>
      </c>
      <c r="E88" t="s">
        <v>445</v>
      </c>
      <c r="F88" t="s">
        <v>100</v>
      </c>
      <c r="G88" s="9">
        <v>500000</v>
      </c>
      <c r="H88" s="9">
        <v>500000</v>
      </c>
      <c r="I88" s="9">
        <v>0</v>
      </c>
      <c r="J88" s="9"/>
      <c r="K88" s="9">
        <v>0</v>
      </c>
    </row>
    <row r="89" spans="1:11">
      <c r="A89" t="s">
        <v>192</v>
      </c>
      <c r="B89" t="s">
        <v>440</v>
      </c>
      <c r="C89" t="s">
        <v>502</v>
      </c>
      <c r="D89" t="s">
        <v>271</v>
      </c>
      <c r="E89" t="s">
        <v>498</v>
      </c>
      <c r="F89" t="s">
        <v>191</v>
      </c>
      <c r="G89" s="9">
        <v>90000000</v>
      </c>
      <c r="H89" s="9">
        <v>90000000</v>
      </c>
      <c r="I89" s="9">
        <v>0</v>
      </c>
      <c r="J89" s="9"/>
      <c r="K89" s="9">
        <v>0</v>
      </c>
    </row>
    <row r="90" spans="1:11">
      <c r="A90" t="s">
        <v>192</v>
      </c>
      <c r="B90" t="s">
        <v>440</v>
      </c>
      <c r="C90" t="s">
        <v>502</v>
      </c>
      <c r="D90" t="s">
        <v>271</v>
      </c>
      <c r="E90" t="s">
        <v>498</v>
      </c>
      <c r="F90" t="s">
        <v>100</v>
      </c>
      <c r="G90" s="9">
        <v>10000000</v>
      </c>
      <c r="H90" s="9">
        <v>10000000</v>
      </c>
      <c r="I90" s="9">
        <v>0</v>
      </c>
      <c r="J90" s="9"/>
      <c r="K90" s="9">
        <v>0</v>
      </c>
    </row>
    <row r="91" spans="1:11">
      <c r="A91" t="s">
        <v>192</v>
      </c>
      <c r="B91" t="s">
        <v>440</v>
      </c>
      <c r="C91" t="s">
        <v>502</v>
      </c>
      <c r="D91" t="s">
        <v>271</v>
      </c>
      <c r="E91" t="s">
        <v>507</v>
      </c>
      <c r="F91" t="s">
        <v>191</v>
      </c>
      <c r="G91" s="9">
        <v>87460000</v>
      </c>
      <c r="H91" s="9">
        <v>87460000</v>
      </c>
      <c r="I91" s="9">
        <v>0</v>
      </c>
      <c r="J91" s="9"/>
      <c r="K91" s="9">
        <v>0</v>
      </c>
    </row>
    <row r="92" spans="1:11">
      <c r="A92" t="s">
        <v>192</v>
      </c>
      <c r="B92" t="s">
        <v>440</v>
      </c>
      <c r="C92" t="s">
        <v>502</v>
      </c>
      <c r="D92" t="s">
        <v>271</v>
      </c>
      <c r="E92" t="s">
        <v>507</v>
      </c>
      <c r="F92" t="s">
        <v>100</v>
      </c>
      <c r="G92" s="9">
        <v>11240000</v>
      </c>
      <c r="H92" s="9">
        <v>11240000</v>
      </c>
      <c r="I92" s="9">
        <v>0</v>
      </c>
      <c r="J92" s="9"/>
      <c r="K92" s="9">
        <v>0</v>
      </c>
    </row>
    <row r="93" spans="1:11">
      <c r="A93" t="s">
        <v>192</v>
      </c>
      <c r="B93" t="s">
        <v>440</v>
      </c>
      <c r="C93" t="s">
        <v>502</v>
      </c>
      <c r="D93" t="s">
        <v>271</v>
      </c>
      <c r="E93" t="s">
        <v>508</v>
      </c>
      <c r="F93" t="s">
        <v>191</v>
      </c>
      <c r="G93" s="9">
        <v>87357000</v>
      </c>
      <c r="H93" s="9">
        <v>87357000</v>
      </c>
      <c r="I93" s="9">
        <v>0</v>
      </c>
      <c r="J93" s="9"/>
      <c r="K93" s="9">
        <v>0</v>
      </c>
    </row>
    <row r="94" spans="1:11">
      <c r="A94" t="s">
        <v>192</v>
      </c>
      <c r="B94" t="s">
        <v>440</v>
      </c>
      <c r="C94" t="s">
        <v>502</v>
      </c>
      <c r="D94" t="s">
        <v>271</v>
      </c>
      <c r="E94" t="s">
        <v>508</v>
      </c>
      <c r="F94" t="s">
        <v>100</v>
      </c>
      <c r="G94" s="9">
        <v>12600000</v>
      </c>
      <c r="H94" s="9">
        <v>12600000</v>
      </c>
      <c r="I94" s="9">
        <v>0</v>
      </c>
      <c r="J94" s="9"/>
      <c r="K94" s="9">
        <v>0</v>
      </c>
    </row>
    <row r="95" spans="1:11">
      <c r="A95" t="s">
        <v>192</v>
      </c>
      <c r="B95" t="s">
        <v>506</v>
      </c>
      <c r="C95" t="s">
        <v>209</v>
      </c>
      <c r="D95" t="s">
        <v>268</v>
      </c>
      <c r="E95" t="s">
        <v>487</v>
      </c>
      <c r="F95" t="s">
        <v>133</v>
      </c>
      <c r="G95" s="9">
        <v>40000000</v>
      </c>
      <c r="H95" s="9">
        <v>27000000</v>
      </c>
      <c r="I95" s="9">
        <v>13000000</v>
      </c>
      <c r="J95" s="9">
        <v>-13000000</v>
      </c>
      <c r="K95" s="9">
        <v>0</v>
      </c>
    </row>
    <row r="96" spans="1:11">
      <c r="A96" t="s">
        <v>192</v>
      </c>
      <c r="B96" t="s">
        <v>506</v>
      </c>
      <c r="C96" t="s">
        <v>209</v>
      </c>
      <c r="D96" t="s">
        <v>271</v>
      </c>
      <c r="E96" t="s">
        <v>487</v>
      </c>
      <c r="F96" t="s">
        <v>44</v>
      </c>
      <c r="G96" s="9">
        <v>25000000</v>
      </c>
      <c r="H96" s="9">
        <v>25000000</v>
      </c>
      <c r="I96" s="9">
        <v>0</v>
      </c>
      <c r="J96" s="9"/>
      <c r="K96" s="9">
        <v>0</v>
      </c>
    </row>
    <row r="97" spans="1:11">
      <c r="A97" t="s">
        <v>192</v>
      </c>
      <c r="B97" t="s">
        <v>506</v>
      </c>
      <c r="C97" t="s">
        <v>209</v>
      </c>
      <c r="D97" t="s">
        <v>271</v>
      </c>
      <c r="E97" t="s">
        <v>487</v>
      </c>
      <c r="F97" t="s">
        <v>106</v>
      </c>
      <c r="G97" s="9">
        <v>2000000</v>
      </c>
      <c r="H97" s="9">
        <v>2000000</v>
      </c>
      <c r="I97" s="9">
        <v>0</v>
      </c>
      <c r="J97" s="9"/>
      <c r="K97" s="9">
        <v>0</v>
      </c>
    </row>
    <row r="98" spans="1:11">
      <c r="A98" t="s">
        <v>192</v>
      </c>
      <c r="B98" t="s">
        <v>506</v>
      </c>
      <c r="C98" t="s">
        <v>209</v>
      </c>
      <c r="D98" t="s">
        <v>271</v>
      </c>
      <c r="E98" t="s">
        <v>487</v>
      </c>
      <c r="F98" t="s">
        <v>195</v>
      </c>
      <c r="G98" s="9">
        <v>0</v>
      </c>
      <c r="H98" s="9">
        <v>3170000</v>
      </c>
      <c r="I98" s="9">
        <v>-3170000</v>
      </c>
      <c r="J98" s="9">
        <v>3170000</v>
      </c>
      <c r="K98" s="9">
        <v>0</v>
      </c>
    </row>
    <row r="99" spans="1:11">
      <c r="A99" t="s">
        <v>192</v>
      </c>
      <c r="B99" t="s">
        <v>509</v>
      </c>
      <c r="C99" t="s">
        <v>212</v>
      </c>
      <c r="D99" t="s">
        <v>270</v>
      </c>
      <c r="E99" t="s">
        <v>487</v>
      </c>
      <c r="F99" t="s">
        <v>191</v>
      </c>
      <c r="G99" s="9">
        <v>30000000</v>
      </c>
      <c r="H99" s="9">
        <v>40316790</v>
      </c>
      <c r="I99" s="9">
        <v>-10316790</v>
      </c>
      <c r="J99" s="9">
        <v>10316790</v>
      </c>
      <c r="K99" s="9">
        <v>0</v>
      </c>
    </row>
    <row r="100" spans="1:11">
      <c r="A100" t="s">
        <v>192</v>
      </c>
      <c r="B100" t="s">
        <v>509</v>
      </c>
      <c r="C100" t="s">
        <v>212</v>
      </c>
      <c r="D100" t="s">
        <v>270</v>
      </c>
      <c r="E100" t="s">
        <v>487</v>
      </c>
      <c r="F100" t="s">
        <v>133</v>
      </c>
      <c r="G100" s="9">
        <v>36800000</v>
      </c>
      <c r="H100" s="9">
        <v>38452010</v>
      </c>
      <c r="I100" s="9">
        <v>-1652010</v>
      </c>
      <c r="J100" s="9">
        <v>1652010</v>
      </c>
      <c r="K100" s="9">
        <v>0</v>
      </c>
    </row>
    <row r="101" spans="1:11">
      <c r="A101" t="s">
        <v>192</v>
      </c>
      <c r="B101" t="s">
        <v>509</v>
      </c>
      <c r="C101" t="s">
        <v>212</v>
      </c>
      <c r="D101" t="s">
        <v>270</v>
      </c>
      <c r="E101" t="s">
        <v>487</v>
      </c>
      <c r="F101" t="s">
        <v>100</v>
      </c>
      <c r="G101" s="9"/>
      <c r="H101" s="9">
        <v>3440000</v>
      </c>
      <c r="I101" s="9">
        <v>-3440000</v>
      </c>
      <c r="J101" s="9">
        <v>3440000</v>
      </c>
      <c r="K101" s="9">
        <v>0</v>
      </c>
    </row>
    <row r="102" spans="1:11">
      <c r="A102" t="s">
        <v>192</v>
      </c>
      <c r="B102" t="s">
        <v>509</v>
      </c>
      <c r="C102" t="s">
        <v>212</v>
      </c>
      <c r="D102" t="s">
        <v>270</v>
      </c>
      <c r="E102" t="s">
        <v>487</v>
      </c>
      <c r="F102" t="s">
        <v>195</v>
      </c>
      <c r="G102" s="9"/>
      <c r="H102" s="9">
        <v>700000</v>
      </c>
      <c r="I102" s="9">
        <v>-700000</v>
      </c>
      <c r="J102" s="9">
        <v>700000</v>
      </c>
      <c r="K102" s="9">
        <v>0</v>
      </c>
    </row>
    <row r="103" spans="1:11">
      <c r="A103" t="s">
        <v>216</v>
      </c>
      <c r="B103" t="s">
        <v>510</v>
      </c>
      <c r="C103" t="s">
        <v>233</v>
      </c>
      <c r="D103" t="s">
        <v>432</v>
      </c>
      <c r="E103" t="s">
        <v>487</v>
      </c>
      <c r="F103" t="s">
        <v>215</v>
      </c>
      <c r="G103" s="9">
        <v>17460000</v>
      </c>
      <c r="H103" s="9">
        <v>17460000</v>
      </c>
      <c r="I103" s="9">
        <v>0</v>
      </c>
      <c r="J103" s="9"/>
      <c r="K103" s="9">
        <v>0</v>
      </c>
    </row>
    <row r="104" spans="1:11">
      <c r="A104" t="s">
        <v>166</v>
      </c>
      <c r="B104" t="s">
        <v>510</v>
      </c>
      <c r="C104" t="s">
        <v>233</v>
      </c>
      <c r="D104" t="s">
        <v>290</v>
      </c>
      <c r="E104" t="s">
        <v>487</v>
      </c>
      <c r="F104" t="s">
        <v>100</v>
      </c>
      <c r="G104" s="9">
        <v>15000000</v>
      </c>
      <c r="H104" s="9">
        <v>15000000</v>
      </c>
      <c r="I104" s="9">
        <v>0</v>
      </c>
      <c r="J104" s="9"/>
      <c r="K104" s="9">
        <v>0</v>
      </c>
    </row>
    <row r="105" spans="1:11">
      <c r="A105" t="s">
        <v>166</v>
      </c>
      <c r="B105" t="s">
        <v>510</v>
      </c>
      <c r="C105" t="s">
        <v>233</v>
      </c>
      <c r="D105" t="s">
        <v>290</v>
      </c>
      <c r="E105" t="s">
        <v>487</v>
      </c>
      <c r="F105" t="s">
        <v>219</v>
      </c>
      <c r="G105" s="9">
        <v>25848000</v>
      </c>
      <c r="H105" s="9">
        <v>25848000</v>
      </c>
      <c r="I105" s="9">
        <v>0</v>
      </c>
      <c r="J105" s="9"/>
      <c r="K105" s="9">
        <v>0</v>
      </c>
    </row>
    <row r="106" spans="1:11">
      <c r="A106" t="s">
        <v>166</v>
      </c>
      <c r="B106" t="s">
        <v>510</v>
      </c>
      <c r="C106" t="s">
        <v>233</v>
      </c>
      <c r="D106" t="s">
        <v>290</v>
      </c>
      <c r="E106" t="s">
        <v>487</v>
      </c>
      <c r="F106" t="s">
        <v>191</v>
      </c>
      <c r="G106" s="9">
        <v>8490000</v>
      </c>
      <c r="H106" s="9">
        <v>6960000</v>
      </c>
      <c r="I106" s="9">
        <v>1530000</v>
      </c>
      <c r="J106" s="9"/>
      <c r="K106" s="9">
        <v>1530000</v>
      </c>
    </row>
    <row r="107" spans="1:11">
      <c r="A107" t="s">
        <v>181</v>
      </c>
      <c r="B107" t="s">
        <v>510</v>
      </c>
      <c r="C107" t="s">
        <v>233</v>
      </c>
      <c r="D107" t="s">
        <v>433</v>
      </c>
      <c r="E107" t="s">
        <v>487</v>
      </c>
      <c r="F107" t="s">
        <v>106</v>
      </c>
      <c r="G107" s="9">
        <v>10000000</v>
      </c>
      <c r="H107" s="9">
        <v>9748230</v>
      </c>
      <c r="I107" s="9">
        <v>251770</v>
      </c>
      <c r="J107" s="9"/>
      <c r="K107" s="9">
        <v>251770</v>
      </c>
    </row>
    <row r="108" spans="1:11">
      <c r="A108" t="s">
        <v>166</v>
      </c>
      <c r="B108" t="s">
        <v>510</v>
      </c>
      <c r="C108" t="s">
        <v>233</v>
      </c>
      <c r="D108" t="s">
        <v>290</v>
      </c>
      <c r="E108" t="s">
        <v>487</v>
      </c>
      <c r="F108" t="s">
        <v>106</v>
      </c>
      <c r="G108" s="9">
        <v>2500000</v>
      </c>
      <c r="H108" s="9">
        <v>2500000</v>
      </c>
      <c r="I108" s="9">
        <v>0</v>
      </c>
      <c r="J108" s="9"/>
      <c r="K108" s="9">
        <v>0</v>
      </c>
    </row>
    <row r="109" spans="1:11">
      <c r="A109" t="s">
        <v>166</v>
      </c>
      <c r="B109" t="s">
        <v>510</v>
      </c>
      <c r="C109" t="s">
        <v>233</v>
      </c>
      <c r="D109" t="s">
        <v>283</v>
      </c>
      <c r="E109" t="s">
        <v>487</v>
      </c>
      <c r="F109" t="s">
        <v>195</v>
      </c>
      <c r="G109" s="9"/>
      <c r="H109" s="9">
        <v>13966000</v>
      </c>
      <c r="I109" s="9">
        <v>-13966000</v>
      </c>
      <c r="J109" s="9">
        <v>13966000</v>
      </c>
      <c r="K109" s="9">
        <v>0</v>
      </c>
    </row>
    <row r="110" spans="1:11">
      <c r="A110" t="s">
        <v>166</v>
      </c>
      <c r="B110" t="s">
        <v>510</v>
      </c>
      <c r="C110" t="s">
        <v>233</v>
      </c>
      <c r="D110" t="s">
        <v>511</v>
      </c>
      <c r="E110" t="s">
        <v>487</v>
      </c>
      <c r="F110" t="s">
        <v>133</v>
      </c>
      <c r="G110" s="9"/>
      <c r="H110" s="9">
        <v>3305900</v>
      </c>
      <c r="I110" s="9">
        <v>-3305900</v>
      </c>
      <c r="J110" s="9">
        <v>3305900</v>
      </c>
      <c r="K110" s="9">
        <v>0</v>
      </c>
    </row>
    <row r="111" spans="1:11">
      <c r="A111" t="s">
        <v>216</v>
      </c>
      <c r="B111" t="s">
        <v>510</v>
      </c>
      <c r="C111" t="s">
        <v>512</v>
      </c>
      <c r="D111" t="s">
        <v>432</v>
      </c>
      <c r="E111" t="s">
        <v>487</v>
      </c>
      <c r="F111" t="s">
        <v>106</v>
      </c>
      <c r="G111" s="9">
        <v>6000000</v>
      </c>
      <c r="H111" s="9">
        <v>0</v>
      </c>
      <c r="I111" s="9">
        <v>6000000</v>
      </c>
      <c r="J111" s="9"/>
      <c r="K111" s="9">
        <v>6000000</v>
      </c>
    </row>
    <row r="112" spans="1:11">
      <c r="A112" t="s">
        <v>216</v>
      </c>
      <c r="B112" t="s">
        <v>513</v>
      </c>
      <c r="C112" t="s">
        <v>223</v>
      </c>
      <c r="D112" t="s">
        <v>514</v>
      </c>
      <c r="E112" t="s">
        <v>487</v>
      </c>
      <c r="F112" t="s">
        <v>224</v>
      </c>
      <c r="G112" s="9">
        <v>1018100000</v>
      </c>
      <c r="H112" s="9">
        <v>1338412700</v>
      </c>
      <c r="I112" s="9">
        <v>-320312700</v>
      </c>
      <c r="J112" s="9">
        <v>320312700</v>
      </c>
      <c r="K112" s="9">
        <v>0</v>
      </c>
    </row>
    <row r="113" spans="1:11">
      <c r="A113" t="s">
        <v>216</v>
      </c>
      <c r="B113" t="s">
        <v>513</v>
      </c>
      <c r="C113" t="s">
        <v>223</v>
      </c>
      <c r="D113" t="s">
        <v>514</v>
      </c>
      <c r="E113" t="s">
        <v>487</v>
      </c>
      <c r="F113" t="s">
        <v>86</v>
      </c>
      <c r="G113" s="9">
        <v>762000000</v>
      </c>
      <c r="H113" s="9">
        <v>957772090</v>
      </c>
      <c r="I113" s="9">
        <v>-195772090</v>
      </c>
      <c r="J113" s="9">
        <v>195772090</v>
      </c>
      <c r="K113" s="9">
        <v>0</v>
      </c>
    </row>
    <row r="114" spans="1:11">
      <c r="A114" t="s">
        <v>216</v>
      </c>
      <c r="B114" t="s">
        <v>513</v>
      </c>
      <c r="C114" t="s">
        <v>223</v>
      </c>
      <c r="D114" t="s">
        <v>514</v>
      </c>
      <c r="E114" t="s">
        <v>487</v>
      </c>
      <c r="F114" t="s">
        <v>45</v>
      </c>
      <c r="G114" s="9">
        <v>5000000</v>
      </c>
      <c r="H114" s="9">
        <v>4565000</v>
      </c>
      <c r="I114" s="9">
        <v>435000</v>
      </c>
      <c r="J114" s="9"/>
      <c r="K114" s="9">
        <v>435000</v>
      </c>
    </row>
    <row r="115" spans="1:11">
      <c r="A115" t="s">
        <v>166</v>
      </c>
      <c r="B115" t="s">
        <v>515</v>
      </c>
      <c r="C115" t="s">
        <v>516</v>
      </c>
      <c r="D115" t="s">
        <v>435</v>
      </c>
      <c r="E115" t="s">
        <v>487</v>
      </c>
      <c r="F115" t="s">
        <v>100</v>
      </c>
      <c r="G115" s="9">
        <v>91300000</v>
      </c>
      <c r="H115" s="9">
        <v>80200000</v>
      </c>
      <c r="I115" s="9">
        <v>11100000</v>
      </c>
      <c r="J115" s="9">
        <v>-5890000</v>
      </c>
      <c r="K115" s="9">
        <v>5210000</v>
      </c>
    </row>
    <row r="116" spans="1:11">
      <c r="A116" t="s">
        <v>166</v>
      </c>
      <c r="B116" t="s">
        <v>515</v>
      </c>
      <c r="C116" t="s">
        <v>516</v>
      </c>
      <c r="D116" t="s">
        <v>435</v>
      </c>
      <c r="E116" t="s">
        <v>487</v>
      </c>
      <c r="F116" t="s">
        <v>45</v>
      </c>
      <c r="G116" s="9">
        <v>2823000</v>
      </c>
      <c r="H116" s="9">
        <v>2522750</v>
      </c>
      <c r="I116" s="9">
        <v>300250</v>
      </c>
      <c r="J116" s="9"/>
      <c r="K116" s="9">
        <v>300250</v>
      </c>
    </row>
    <row r="117" spans="1:11">
      <c r="A117" t="s">
        <v>166</v>
      </c>
      <c r="B117" t="s">
        <v>515</v>
      </c>
      <c r="C117" t="s">
        <v>516</v>
      </c>
      <c r="D117" t="s">
        <v>435</v>
      </c>
      <c r="E117" t="s">
        <v>487</v>
      </c>
      <c r="F117" t="s">
        <v>106</v>
      </c>
      <c r="G117" s="9">
        <v>500000</v>
      </c>
      <c r="H117" s="9">
        <v>500000</v>
      </c>
      <c r="I117" s="9">
        <v>0</v>
      </c>
      <c r="J117" s="9"/>
      <c r="K117" s="9">
        <v>0</v>
      </c>
    </row>
    <row r="118" spans="1:11">
      <c r="A118" t="s">
        <v>166</v>
      </c>
      <c r="B118" t="s">
        <v>517</v>
      </c>
      <c r="C118" t="s">
        <v>518</v>
      </c>
      <c r="D118" t="s">
        <v>436</v>
      </c>
      <c r="E118" t="s">
        <v>487</v>
      </c>
      <c r="F118" t="s">
        <v>100</v>
      </c>
      <c r="G118" s="9">
        <v>16300000</v>
      </c>
      <c r="H118" s="9">
        <v>16300000</v>
      </c>
      <c r="I118" s="9">
        <v>0</v>
      </c>
      <c r="J118" s="9"/>
      <c r="K118" s="9">
        <v>0</v>
      </c>
    </row>
    <row r="119" spans="1:11">
      <c r="A119" t="s">
        <v>519</v>
      </c>
      <c r="G119" s="9">
        <v>10045000000</v>
      </c>
      <c r="H119" s="9">
        <v>8500740826</v>
      </c>
      <c r="I119" s="9">
        <v>1544259174</v>
      </c>
      <c r="J119" s="9">
        <v>0</v>
      </c>
      <c r="K119" s="9">
        <v>1544259174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"/>
  <sheetViews>
    <sheetView zoomScaleNormal="100" workbookViewId="0">
      <selection sqref="A1:A2"/>
    </sheetView>
  </sheetViews>
  <sheetFormatPr defaultRowHeight="16.5"/>
  <cols>
    <col min="1" max="1" width="27.75" bestFit="1" customWidth="1"/>
    <col min="2" max="2" width="17" bestFit="1" customWidth="1"/>
    <col min="3" max="3" width="14.375" bestFit="1" customWidth="1"/>
    <col min="4" max="4" width="16.125" customWidth="1"/>
    <col min="5" max="5" width="11.875" bestFit="1" customWidth="1"/>
    <col min="6" max="7" width="11.875" customWidth="1"/>
    <col min="8" max="8" width="10.75" bestFit="1" customWidth="1"/>
    <col min="9" max="9" width="10.25" customWidth="1"/>
    <col min="10" max="10" width="12.625" bestFit="1" customWidth="1"/>
    <col min="11" max="11" width="11.5" bestFit="1" customWidth="1"/>
    <col min="12" max="12" width="10.875" bestFit="1" customWidth="1"/>
    <col min="13" max="15" width="11.875" bestFit="1" customWidth="1"/>
    <col min="16" max="16" width="12" bestFit="1" customWidth="1"/>
    <col min="17" max="17" width="9.125" bestFit="1" customWidth="1"/>
  </cols>
  <sheetData>
    <row r="1" spans="1:18" ht="16.5" customHeight="1">
      <c r="A1" s="255" t="s">
        <v>18</v>
      </c>
      <c r="B1" s="255" t="s">
        <v>0</v>
      </c>
      <c r="C1" s="256" t="s">
        <v>113</v>
      </c>
      <c r="D1" s="258" t="s">
        <v>117</v>
      </c>
      <c r="E1" s="260" t="s">
        <v>60</v>
      </c>
      <c r="F1" s="260"/>
      <c r="G1" s="260"/>
      <c r="H1" s="260"/>
      <c r="I1" s="260"/>
      <c r="J1" s="260"/>
      <c r="K1" s="260"/>
      <c r="L1" s="260"/>
      <c r="M1" s="260"/>
      <c r="N1" s="260"/>
      <c r="O1" s="253" t="s">
        <v>118</v>
      </c>
      <c r="P1" s="253" t="s">
        <v>119</v>
      </c>
      <c r="Q1" s="253" t="s">
        <v>120</v>
      </c>
      <c r="R1" s="254" t="s">
        <v>13</v>
      </c>
    </row>
    <row r="2" spans="1:18">
      <c r="A2" s="255"/>
      <c r="B2" s="255"/>
      <c r="C2" s="257"/>
      <c r="D2" s="259"/>
      <c r="E2" s="8" t="s">
        <v>115</v>
      </c>
      <c r="F2" s="8" t="s">
        <v>116</v>
      </c>
      <c r="G2" s="8" t="s">
        <v>5</v>
      </c>
      <c r="H2" s="8" t="s">
        <v>61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254"/>
      <c r="P2" s="254"/>
      <c r="Q2" s="254"/>
      <c r="R2" s="254"/>
    </row>
    <row r="3" spans="1:18" ht="23.25" customHeight="1">
      <c r="A3" s="2" t="s">
        <v>75</v>
      </c>
      <c r="B3" s="12" t="s">
        <v>135</v>
      </c>
      <c r="C3" s="29">
        <v>17600000</v>
      </c>
      <c r="D3" s="29">
        <f>SUM(C3:C3)</f>
        <v>17600000</v>
      </c>
      <c r="E3" s="7"/>
      <c r="F3" s="7"/>
      <c r="G3" s="7"/>
      <c r="H3" s="7"/>
      <c r="I3" s="7"/>
      <c r="J3" s="7"/>
      <c r="K3" s="7"/>
      <c r="L3" s="7"/>
      <c r="M3" s="7"/>
      <c r="N3" s="7"/>
      <c r="O3" s="7">
        <f>SUM(E3:N3)</f>
        <v>0</v>
      </c>
      <c r="P3" s="7">
        <f>D3-O3</f>
        <v>17600000</v>
      </c>
      <c r="Q3" s="26">
        <f t="shared" ref="Q3:Q8" si="0">O3/D3</f>
        <v>0</v>
      </c>
      <c r="R3" s="7"/>
    </row>
    <row r="4" spans="1:18" ht="23.25" customHeight="1">
      <c r="A4" s="2" t="s">
        <v>75</v>
      </c>
      <c r="B4" s="12" t="s">
        <v>136</v>
      </c>
      <c r="C4" s="30">
        <v>3000000</v>
      </c>
      <c r="D4" s="29">
        <f>SUM(C4:C4)</f>
        <v>3000000</v>
      </c>
      <c r="E4" s="7"/>
      <c r="F4" s="7"/>
      <c r="G4" s="7"/>
      <c r="H4" s="7"/>
      <c r="I4" s="7"/>
      <c r="J4" s="7"/>
      <c r="K4" s="7"/>
      <c r="L4" s="7"/>
      <c r="M4" s="7"/>
      <c r="N4" s="7"/>
      <c r="O4" s="7">
        <f t="shared" ref="O4:O7" si="1">SUM(E4:N4)</f>
        <v>0</v>
      </c>
      <c r="P4" s="7">
        <f t="shared" ref="P4:P7" si="2">D4-O4</f>
        <v>3000000</v>
      </c>
      <c r="Q4" s="26">
        <f t="shared" si="0"/>
        <v>0</v>
      </c>
      <c r="R4" s="7"/>
    </row>
    <row r="5" spans="1:18" ht="23.25" customHeight="1">
      <c r="A5" s="2" t="s">
        <v>75</v>
      </c>
      <c r="B5" s="14" t="s">
        <v>21</v>
      </c>
      <c r="C5" s="31">
        <v>1000000</v>
      </c>
      <c r="D5" s="29">
        <f>SUM(C5:C5)</f>
        <v>1000000</v>
      </c>
      <c r="E5" s="7"/>
      <c r="F5" s="7"/>
      <c r="G5" s="7"/>
      <c r="H5" s="7"/>
      <c r="I5" s="7"/>
      <c r="J5" s="7"/>
      <c r="K5" s="7"/>
      <c r="L5" s="7"/>
      <c r="M5" s="7"/>
      <c r="N5" s="7"/>
      <c r="O5" s="7">
        <f>SUM(E5:N5)</f>
        <v>0</v>
      </c>
      <c r="P5" s="7">
        <f t="shared" si="2"/>
        <v>1000000</v>
      </c>
      <c r="Q5" s="26">
        <f t="shared" si="0"/>
        <v>0</v>
      </c>
      <c r="R5" s="7"/>
    </row>
    <row r="6" spans="1:18" ht="23.25" customHeight="1">
      <c r="A6" s="2" t="s">
        <v>75</v>
      </c>
      <c r="B6" s="14" t="s">
        <v>114</v>
      </c>
      <c r="C6" s="31">
        <v>1400000</v>
      </c>
      <c r="D6" s="29">
        <f>SUM(C6:C6)</f>
        <v>1400000</v>
      </c>
      <c r="E6" s="7"/>
      <c r="F6" s="7"/>
      <c r="G6" s="7"/>
      <c r="H6" s="7"/>
      <c r="I6" s="7"/>
      <c r="J6" s="7"/>
      <c r="K6" s="7"/>
      <c r="L6" s="7"/>
      <c r="M6" s="7"/>
      <c r="N6" s="7"/>
      <c r="O6" s="7">
        <f>SUM(E6:N6)</f>
        <v>0</v>
      </c>
      <c r="P6" s="7">
        <f t="shared" si="2"/>
        <v>1400000</v>
      </c>
      <c r="Q6" s="26">
        <f t="shared" si="0"/>
        <v>0</v>
      </c>
      <c r="R6" s="7"/>
    </row>
    <row r="7" spans="1:18" ht="23.25" customHeight="1">
      <c r="A7" s="2" t="s">
        <v>75</v>
      </c>
      <c r="B7" s="14" t="s">
        <v>137</v>
      </c>
      <c r="C7" s="31">
        <v>14400000</v>
      </c>
      <c r="D7" s="29">
        <f>SUM(C7:C7)</f>
        <v>14400000</v>
      </c>
      <c r="E7" s="7"/>
      <c r="F7" s="7"/>
      <c r="G7" s="7"/>
      <c r="H7" s="7"/>
      <c r="I7" s="7"/>
      <c r="J7" s="7"/>
      <c r="K7" s="7"/>
      <c r="L7" s="7"/>
      <c r="M7" s="7"/>
      <c r="N7" s="7"/>
      <c r="O7" s="7">
        <f t="shared" si="1"/>
        <v>0</v>
      </c>
      <c r="P7" s="7">
        <f t="shared" si="2"/>
        <v>14400000</v>
      </c>
      <c r="Q7" s="26">
        <f t="shared" si="0"/>
        <v>0</v>
      </c>
      <c r="R7" s="7"/>
    </row>
    <row r="8" spans="1:18" ht="23.25" customHeight="1">
      <c r="A8" s="251" t="s">
        <v>28</v>
      </c>
      <c r="B8" s="252"/>
      <c r="C8" s="32">
        <f>SUBTOTAL(9,C3:C7)</f>
        <v>37400000</v>
      </c>
      <c r="D8" s="32">
        <f>SUBTOTAL(9,D3:D7)</f>
        <v>37400000</v>
      </c>
      <c r="E8" s="16">
        <f t="shared" ref="E8:P8" si="3">SUM(E3:E7)</f>
        <v>0</v>
      </c>
      <c r="F8" s="16">
        <f t="shared" si="3"/>
        <v>0</v>
      </c>
      <c r="G8" s="16">
        <f t="shared" si="3"/>
        <v>0</v>
      </c>
      <c r="H8" s="16">
        <f t="shared" si="3"/>
        <v>0</v>
      </c>
      <c r="I8" s="16">
        <f t="shared" si="3"/>
        <v>0</v>
      </c>
      <c r="J8" s="16">
        <f t="shared" si="3"/>
        <v>0</v>
      </c>
      <c r="K8" s="16">
        <f t="shared" si="3"/>
        <v>0</v>
      </c>
      <c r="L8" s="16">
        <f t="shared" si="3"/>
        <v>0</v>
      </c>
      <c r="M8" s="16">
        <f t="shared" si="3"/>
        <v>0</v>
      </c>
      <c r="N8" s="16">
        <f t="shared" si="3"/>
        <v>0</v>
      </c>
      <c r="O8" s="16">
        <f t="shared" si="3"/>
        <v>0</v>
      </c>
      <c r="P8" s="16">
        <f t="shared" si="3"/>
        <v>37400000</v>
      </c>
      <c r="Q8" s="27">
        <f t="shared" si="0"/>
        <v>0</v>
      </c>
      <c r="R8" s="11"/>
    </row>
  </sheetData>
  <mergeCells count="10">
    <mergeCell ref="A8:B8"/>
    <mergeCell ref="O1:O2"/>
    <mergeCell ref="P1:P2"/>
    <mergeCell ref="Q1:Q2"/>
    <mergeCell ref="R1:R2"/>
    <mergeCell ref="A1:A2"/>
    <mergeCell ref="B1:B2"/>
    <mergeCell ref="C1:C2"/>
    <mergeCell ref="D1:D2"/>
    <mergeCell ref="E1:N1"/>
  </mergeCells>
  <phoneticPr fontId="20" type="noConversion"/>
  <conditionalFormatting sqref="P3:P8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"/>
  <sheetViews>
    <sheetView zoomScaleNormal="100" workbookViewId="0">
      <selection sqref="A1:A2"/>
    </sheetView>
  </sheetViews>
  <sheetFormatPr defaultRowHeight="16.5"/>
  <cols>
    <col min="1" max="1" width="27.75" bestFit="1" customWidth="1"/>
    <col min="2" max="2" width="17" bestFit="1" customWidth="1"/>
    <col min="3" max="3" width="14.375" bestFit="1" customWidth="1"/>
    <col min="4" max="4" width="16.125" customWidth="1"/>
    <col min="5" max="5" width="11.875" bestFit="1" customWidth="1"/>
    <col min="6" max="6" width="11.875" customWidth="1"/>
    <col min="7" max="7" width="10.75" bestFit="1" customWidth="1"/>
    <col min="8" max="8" width="10.25" customWidth="1"/>
    <col min="9" max="9" width="12.625" bestFit="1" customWidth="1"/>
    <col min="10" max="10" width="11.5" bestFit="1" customWidth="1"/>
    <col min="11" max="11" width="10.875" bestFit="1" customWidth="1"/>
    <col min="12" max="14" width="11.875" bestFit="1" customWidth="1"/>
    <col min="15" max="15" width="12" bestFit="1" customWidth="1"/>
    <col min="16" max="16" width="9.125" bestFit="1" customWidth="1"/>
  </cols>
  <sheetData>
    <row r="1" spans="1:17" ht="16.5" customHeight="1">
      <c r="A1" s="255" t="s">
        <v>18</v>
      </c>
      <c r="B1" s="255" t="s">
        <v>0</v>
      </c>
      <c r="C1" s="257" t="s">
        <v>56</v>
      </c>
      <c r="D1" s="258" t="s">
        <v>19</v>
      </c>
      <c r="E1" s="260" t="s">
        <v>42</v>
      </c>
      <c r="F1" s="260"/>
      <c r="G1" s="260"/>
      <c r="H1" s="260"/>
      <c r="I1" s="260"/>
      <c r="J1" s="260"/>
      <c r="K1" s="260"/>
      <c r="L1" s="260"/>
      <c r="M1" s="260"/>
      <c r="N1" s="253" t="s">
        <v>15</v>
      </c>
      <c r="O1" s="253" t="s">
        <v>16</v>
      </c>
      <c r="P1" s="253" t="s">
        <v>17</v>
      </c>
      <c r="Q1" s="254" t="s">
        <v>13</v>
      </c>
    </row>
    <row r="2" spans="1:17">
      <c r="A2" s="255"/>
      <c r="B2" s="255"/>
      <c r="C2" s="257"/>
      <c r="D2" s="259"/>
      <c r="E2" s="8" t="s">
        <v>121</v>
      </c>
      <c r="F2" s="8" t="s">
        <v>5</v>
      </c>
      <c r="G2" s="8" t="s">
        <v>61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254"/>
      <c r="O2" s="254"/>
      <c r="P2" s="254"/>
      <c r="Q2" s="254"/>
    </row>
    <row r="3" spans="1:17" ht="23.25" customHeight="1">
      <c r="A3" s="2" t="s">
        <v>76</v>
      </c>
      <c r="B3" s="12" t="s">
        <v>21</v>
      </c>
      <c r="C3" s="29">
        <v>77800000</v>
      </c>
      <c r="D3" s="29">
        <v>77800000</v>
      </c>
      <c r="E3" s="7"/>
      <c r="F3" s="7"/>
      <c r="G3" s="7"/>
      <c r="H3" s="7"/>
      <c r="I3" s="7"/>
      <c r="J3" s="7"/>
      <c r="K3" s="7"/>
      <c r="L3" s="7"/>
      <c r="M3" s="7"/>
      <c r="N3" s="7">
        <f>SUM(E3:M3)</f>
        <v>0</v>
      </c>
      <c r="O3" s="7">
        <f>D3-N3</f>
        <v>77800000</v>
      </c>
      <c r="P3" s="26">
        <f>N3/D3</f>
        <v>0</v>
      </c>
      <c r="Q3" s="7"/>
    </row>
    <row r="4" spans="1:17" ht="23.25" customHeight="1">
      <c r="A4" s="2" t="s">
        <v>76</v>
      </c>
      <c r="B4" s="12" t="s">
        <v>22</v>
      </c>
      <c r="C4" s="30">
        <v>109200000</v>
      </c>
      <c r="D4" s="29">
        <v>109200000</v>
      </c>
      <c r="E4" s="7"/>
      <c r="F4" s="7"/>
      <c r="G4" s="7"/>
      <c r="H4" s="7"/>
      <c r="I4" s="7"/>
      <c r="J4" s="7"/>
      <c r="K4" s="7"/>
      <c r="L4" s="7"/>
      <c r="M4" s="7"/>
      <c r="N4" s="7">
        <f t="shared" ref="N4" si="0">SUM(E4:M4)</f>
        <v>0</v>
      </c>
      <c r="O4" s="7">
        <f t="shared" ref="O4" si="1">D4-N4</f>
        <v>109200000</v>
      </c>
      <c r="P4" s="26">
        <f>N4/D4</f>
        <v>0</v>
      </c>
      <c r="Q4" s="7"/>
    </row>
    <row r="5" spans="1:17" ht="23.25" customHeight="1">
      <c r="A5" s="251" t="s">
        <v>23</v>
      </c>
      <c r="B5" s="252"/>
      <c r="C5" s="32">
        <f>SUBTOTAL(9,C3:C4)</f>
        <v>187000000</v>
      </c>
      <c r="D5" s="32">
        <f>SUBTOTAL(9,D3:D4)</f>
        <v>187000000</v>
      </c>
      <c r="E5" s="16">
        <f t="shared" ref="E5:O5" si="2">SUM(E3:E4)</f>
        <v>0</v>
      </c>
      <c r="F5" s="16">
        <f t="shared" si="2"/>
        <v>0</v>
      </c>
      <c r="G5" s="16">
        <f t="shared" si="2"/>
        <v>0</v>
      </c>
      <c r="H5" s="16">
        <f t="shared" si="2"/>
        <v>0</v>
      </c>
      <c r="I5" s="16">
        <f t="shared" si="2"/>
        <v>0</v>
      </c>
      <c r="J5" s="16">
        <f t="shared" si="2"/>
        <v>0</v>
      </c>
      <c r="K5" s="16">
        <f t="shared" si="2"/>
        <v>0</v>
      </c>
      <c r="L5" s="16">
        <f t="shared" si="2"/>
        <v>0</v>
      </c>
      <c r="M5" s="16">
        <f t="shared" si="2"/>
        <v>0</v>
      </c>
      <c r="N5" s="16">
        <f t="shared" si="2"/>
        <v>0</v>
      </c>
      <c r="O5" s="16">
        <f t="shared" si="2"/>
        <v>187000000</v>
      </c>
      <c r="P5" s="27">
        <f>N5/D5</f>
        <v>0</v>
      </c>
      <c r="Q5" s="11"/>
    </row>
  </sheetData>
  <mergeCells count="10">
    <mergeCell ref="O1:O2"/>
    <mergeCell ref="P1:P2"/>
    <mergeCell ref="Q1:Q2"/>
    <mergeCell ref="A5:B5"/>
    <mergeCell ref="A1:A2"/>
    <mergeCell ref="B1:B2"/>
    <mergeCell ref="C1:C2"/>
    <mergeCell ref="D1:D2"/>
    <mergeCell ref="E1:M1"/>
    <mergeCell ref="N1:N2"/>
  </mergeCells>
  <phoneticPr fontId="20" type="noConversion"/>
  <conditionalFormatting sqref="O3:O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4"/>
  <sheetViews>
    <sheetView workbookViewId="0">
      <selection sqref="A1:A2"/>
    </sheetView>
  </sheetViews>
  <sheetFormatPr defaultColWidth="9" defaultRowHeight="13.5"/>
  <cols>
    <col min="1" max="3" width="15.375" style="52" customWidth="1"/>
    <col min="4" max="4" width="15.75" style="52" bestFit="1" customWidth="1"/>
    <col min="5" max="11" width="14.375" style="56" customWidth="1"/>
    <col min="12" max="12" width="14.375" style="52" customWidth="1"/>
    <col min="13" max="14" width="14.625" style="52" bestFit="1" customWidth="1"/>
    <col min="15" max="15" width="9.125" style="52" bestFit="1" customWidth="1"/>
    <col min="16" max="16384" width="9" style="52"/>
  </cols>
  <sheetData>
    <row r="1" spans="1:16">
      <c r="A1" s="255" t="s">
        <v>0</v>
      </c>
      <c r="B1" s="262" t="s">
        <v>74</v>
      </c>
      <c r="C1" s="262" t="s">
        <v>103</v>
      </c>
      <c r="D1" s="261" t="s">
        <v>73</v>
      </c>
      <c r="E1" s="260" t="s">
        <v>32</v>
      </c>
      <c r="F1" s="260"/>
      <c r="G1" s="260"/>
      <c r="H1" s="260"/>
      <c r="I1" s="260"/>
      <c r="J1" s="260"/>
      <c r="K1" s="260"/>
      <c r="L1" s="260"/>
      <c r="M1" s="253" t="s">
        <v>15</v>
      </c>
      <c r="N1" s="253" t="s">
        <v>16</v>
      </c>
      <c r="O1" s="253" t="s">
        <v>17</v>
      </c>
      <c r="P1" s="254" t="s">
        <v>13</v>
      </c>
    </row>
    <row r="2" spans="1:16">
      <c r="A2" s="255"/>
      <c r="B2" s="263"/>
      <c r="C2" s="263"/>
      <c r="D2" s="260"/>
      <c r="E2" s="8" t="s">
        <v>126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127</v>
      </c>
      <c r="L2" s="8" t="s">
        <v>12</v>
      </c>
      <c r="M2" s="254"/>
      <c r="N2" s="254"/>
      <c r="O2" s="254"/>
      <c r="P2" s="254"/>
    </row>
    <row r="3" spans="1:16">
      <c r="A3" s="19" t="s">
        <v>29</v>
      </c>
      <c r="B3" s="41">
        <v>1000000</v>
      </c>
      <c r="C3" s="41"/>
      <c r="D3" s="13">
        <f>SUM(B3:C3)</f>
        <v>1000000</v>
      </c>
      <c r="E3" s="53"/>
      <c r="F3" s="53"/>
      <c r="G3" s="53"/>
      <c r="H3" s="53"/>
      <c r="I3" s="53"/>
      <c r="J3" s="53"/>
      <c r="K3" s="53"/>
      <c r="L3" s="53"/>
      <c r="M3" s="53">
        <f>SUM(E3:L3)</f>
        <v>0</v>
      </c>
      <c r="N3" s="53">
        <f>D3-M3</f>
        <v>1000000</v>
      </c>
      <c r="O3" s="54">
        <f>M3/D3</f>
        <v>0</v>
      </c>
      <c r="P3" s="55"/>
    </row>
    <row r="4" spans="1:16">
      <c r="A4" s="19" t="s">
        <v>125</v>
      </c>
      <c r="B4" s="41">
        <v>3000000</v>
      </c>
      <c r="C4" s="41"/>
      <c r="D4" s="13">
        <f>SUM(B4:C4)</f>
        <v>3000000</v>
      </c>
      <c r="E4" s="53"/>
      <c r="F4" s="53"/>
      <c r="G4" s="53"/>
      <c r="H4" s="53"/>
      <c r="I4" s="53"/>
      <c r="J4" s="53"/>
      <c r="K4" s="53"/>
      <c r="L4" s="53"/>
      <c r="M4" s="53">
        <f>SUM(E4:L4)</f>
        <v>0</v>
      </c>
      <c r="N4" s="53">
        <f>D4-M4</f>
        <v>3000000</v>
      </c>
      <c r="O4" s="54">
        <f>M4/D4</f>
        <v>0</v>
      </c>
      <c r="P4" s="55"/>
    </row>
    <row r="5" spans="1:16">
      <c r="A5" s="19" t="s">
        <v>30</v>
      </c>
      <c r="B5" s="41">
        <v>1000000</v>
      </c>
      <c r="C5" s="41"/>
      <c r="D5" s="13">
        <f>SUM(B5:C5)</f>
        <v>1000000</v>
      </c>
      <c r="E5" s="53"/>
      <c r="F5" s="53"/>
      <c r="G5" s="53"/>
      <c r="H5" s="53"/>
      <c r="I5" s="53"/>
      <c r="J5" s="53"/>
      <c r="K5" s="53"/>
      <c r="L5" s="53"/>
      <c r="M5" s="53">
        <f>SUM(E5:L5)</f>
        <v>0</v>
      </c>
      <c r="N5" s="53">
        <f>D5-M5</f>
        <v>1000000</v>
      </c>
      <c r="O5" s="54">
        <f>M5/D5</f>
        <v>0</v>
      </c>
      <c r="P5" s="55"/>
    </row>
    <row r="6" spans="1:16">
      <c r="A6" s="63" t="s">
        <v>31</v>
      </c>
      <c r="B6" s="64">
        <f t="shared" ref="B6:L6" si="0">SUM(B3:B5)</f>
        <v>5000000</v>
      </c>
      <c r="C6" s="64">
        <f t="shared" si="0"/>
        <v>0</v>
      </c>
      <c r="D6" s="64">
        <f t="shared" si="0"/>
        <v>5000000</v>
      </c>
      <c r="E6" s="64">
        <f t="shared" si="0"/>
        <v>0</v>
      </c>
      <c r="F6" s="64">
        <f t="shared" si="0"/>
        <v>0</v>
      </c>
      <c r="G6" s="64">
        <f t="shared" si="0"/>
        <v>0</v>
      </c>
      <c r="H6" s="64">
        <f t="shared" si="0"/>
        <v>0</v>
      </c>
      <c r="I6" s="64">
        <f t="shared" si="0"/>
        <v>0</v>
      </c>
      <c r="J6" s="64">
        <f t="shared" si="0"/>
        <v>0</v>
      </c>
      <c r="K6" s="64">
        <f t="shared" si="0"/>
        <v>0</v>
      </c>
      <c r="L6" s="64">
        <f t="shared" si="0"/>
        <v>0</v>
      </c>
      <c r="M6" s="65">
        <f>SUM(E6:L6)</f>
        <v>0</v>
      </c>
      <c r="N6" s="65">
        <f>D6-M6</f>
        <v>5000000</v>
      </c>
      <c r="O6" s="66">
        <f>M6/D6</f>
        <v>0</v>
      </c>
      <c r="P6" s="67"/>
    </row>
    <row r="7" spans="1:16">
      <c r="E7" s="52"/>
      <c r="F7" s="52"/>
      <c r="G7" s="52"/>
      <c r="H7" s="52"/>
      <c r="I7" s="52"/>
      <c r="J7" s="52"/>
      <c r="K7" s="52"/>
    </row>
    <row r="8" spans="1:16" ht="18.75">
      <c r="A8" s="18" t="s">
        <v>134</v>
      </c>
      <c r="B8" s="18"/>
      <c r="C8" s="18"/>
      <c r="E8" s="52"/>
      <c r="F8" s="52"/>
      <c r="G8" s="52"/>
      <c r="H8" s="52"/>
      <c r="I8" s="52"/>
      <c r="J8" s="52"/>
      <c r="K8" s="52"/>
      <c r="L8" s="56"/>
    </row>
    <row r="9" spans="1:16">
      <c r="E9" s="52"/>
      <c r="F9" s="52"/>
      <c r="G9" s="52"/>
      <c r="H9" s="52"/>
      <c r="I9" s="52"/>
      <c r="J9" s="52"/>
      <c r="K9" s="52"/>
    </row>
    <row r="10" spans="1:16">
      <c r="A10" s="57" t="s">
        <v>124</v>
      </c>
      <c r="B10" s="57" t="s">
        <v>33</v>
      </c>
      <c r="C10" s="57" t="s">
        <v>69</v>
      </c>
    </row>
    <row r="11" spans="1:16">
      <c r="A11" s="58"/>
      <c r="B11" s="59"/>
      <c r="C11" s="60"/>
    </row>
    <row r="12" spans="1:16">
      <c r="A12" s="58"/>
      <c r="B12" s="59"/>
      <c r="C12" s="60"/>
    </row>
    <row r="13" spans="1:16">
      <c r="A13" s="58"/>
      <c r="B13" s="59"/>
      <c r="C13" s="60"/>
    </row>
    <row r="14" spans="1:16">
      <c r="A14" s="58"/>
      <c r="B14" s="59"/>
      <c r="C14" s="60"/>
    </row>
    <row r="15" spans="1:16">
      <c r="A15" s="58"/>
      <c r="B15" s="59"/>
      <c r="C15" s="60"/>
    </row>
    <row r="16" spans="1:16">
      <c r="A16" s="58"/>
      <c r="B16" s="59"/>
      <c r="C16" s="60"/>
    </row>
    <row r="17" spans="1:3">
      <c r="A17" s="58"/>
      <c r="B17" s="59"/>
      <c r="C17" s="60"/>
    </row>
    <row r="18" spans="1:3">
      <c r="A18" s="58"/>
      <c r="B18" s="59"/>
      <c r="C18" s="60"/>
    </row>
    <row r="19" spans="1:3">
      <c r="A19" s="58"/>
      <c r="B19" s="59"/>
      <c r="C19" s="60"/>
    </row>
    <row r="20" spans="1:3">
      <c r="A20" s="58"/>
      <c r="B20" s="59"/>
      <c r="C20" s="60"/>
    </row>
    <row r="21" spans="1:3">
      <c r="A21" s="58"/>
      <c r="B21" s="59"/>
      <c r="C21" s="59"/>
    </row>
    <row r="22" spans="1:3">
      <c r="A22" s="58"/>
      <c r="B22" s="59"/>
      <c r="C22" s="59"/>
    </row>
    <row r="23" spans="1:3">
      <c r="A23" s="58"/>
      <c r="B23" s="60"/>
      <c r="C23" s="60"/>
    </row>
    <row r="24" spans="1:3">
      <c r="A24" s="57" t="s">
        <v>70</v>
      </c>
      <c r="B24" s="61">
        <f>SUM(B11:B23)</f>
        <v>0</v>
      </c>
      <c r="C24" s="62">
        <f>SUM(C11:C23)</f>
        <v>0</v>
      </c>
    </row>
  </sheetData>
  <mergeCells count="9">
    <mergeCell ref="O1:O2"/>
    <mergeCell ref="P1:P2"/>
    <mergeCell ref="A1:A2"/>
    <mergeCell ref="D1:D2"/>
    <mergeCell ref="E1:L1"/>
    <mergeCell ref="M1:M2"/>
    <mergeCell ref="N1:N2"/>
    <mergeCell ref="C1:C2"/>
    <mergeCell ref="B1:B2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Sheet1</vt:lpstr>
      <vt:lpstr>조정현황</vt:lpstr>
      <vt:lpstr>(출,교무과)첨단융합학부 및 학부대학 설립운영_편성내역</vt:lpstr>
      <vt:lpstr>(출)글로벌융합인재양성프로그램</vt:lpstr>
      <vt:lpstr>(출)지식나눔활성화</vt:lpstr>
      <vt:lpstr>(출,교무과)미래기초학문분야</vt:lpstr>
      <vt:lpstr>(출,학사과)디지털전환시대</vt:lpstr>
      <vt:lpstr>예산현황</vt:lpstr>
      <vt:lpstr>Sheet8</vt:lpstr>
      <vt:lpstr>Sheet2</vt:lpstr>
      <vt:lpstr>(수입대체)K-MOOC 운영</vt:lpstr>
      <vt:lpstr>(수입대체)K-MOOC 무크선도대학</vt:lpstr>
      <vt:lpstr>(수입대체)기초교육원운영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지출예산현황총괄</dc:title>
  <dc:creator>owner</dc:creator>
  <cp:lastModifiedBy>박상민</cp:lastModifiedBy>
  <cp:lastPrinted>2025-12-05T05:17:59Z</cp:lastPrinted>
  <dcterms:created xsi:type="dcterms:W3CDTF">2022-02-22T08:30:10Z</dcterms:created>
  <dcterms:modified xsi:type="dcterms:W3CDTF">2025-12-22T07:11:15Z</dcterms:modified>
</cp:coreProperties>
</file>
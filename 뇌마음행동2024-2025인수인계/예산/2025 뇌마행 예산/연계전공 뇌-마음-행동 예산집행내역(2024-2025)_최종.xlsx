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CA2B90-DE3F-4813-ADC3-50DAC12DC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" sheetId="1" r:id="rId1"/>
    <sheet name="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" l="1"/>
  <c r="F43" i="2"/>
  <c r="G42" i="2"/>
  <c r="F42" i="2"/>
  <c r="F20" i="2"/>
  <c r="G20" i="2"/>
  <c r="G39" i="1"/>
  <c r="F38" i="1"/>
  <c r="F22" i="1"/>
  <c r="G38" i="1"/>
  <c r="G22" i="1"/>
  <c r="F39" i="1" l="1"/>
</calcChain>
</file>

<file path=xl/sharedStrings.xml><?xml version="1.0" encoding="utf-8"?>
<sst xmlns="http://schemas.openxmlformats.org/spreadsheetml/2006/main" count="198" uniqueCount="107">
  <si>
    <t>(뇌마음행동) 2025 가을 서울대학교 심리학특강</t>
  </si>
  <si>
    <t>(뇌마음행동) 개별연구 발표회 장소 대관 및 케이터링</t>
  </si>
  <si>
    <t>(뇌마음행동) 운영회의 2건</t>
  </si>
  <si>
    <t>(뇌마음행동) 전공운영 회의비</t>
  </si>
  <si>
    <t>(뇌마음행동) 학생간담회/행사 포스터 인쇄</t>
  </si>
  <si>
    <t>(뇌마음행동)개별연구발표회 행사</t>
  </si>
  <si>
    <t>(뇌마음행동)학생 포스터 인쇄</t>
  </si>
  <si>
    <t>E02002511768</t>
  </si>
  <si>
    <t>E02002512872</t>
  </si>
  <si>
    <t>E02002524421</t>
  </si>
  <si>
    <t>E02002524422</t>
  </si>
  <si>
    <t>E02002524423</t>
  </si>
  <si>
    <t>E02002561668</t>
  </si>
  <si>
    <t>E02002594323</t>
  </si>
  <si>
    <t>건명</t>
  </si>
  <si>
    <t>결의번호</t>
  </si>
  <si>
    <t>교육지원비</t>
  </si>
  <si>
    <t>년월일</t>
  </si>
  <si>
    <t>예산과목명</t>
  </si>
  <si>
    <t>예산배정액(A)</t>
  </si>
  <si>
    <t>원인행위액(B)</t>
  </si>
  <si>
    <t>사업명</t>
    <phoneticPr fontId="4" type="noConversion"/>
  </si>
  <si>
    <t>기타운영비</t>
  </si>
  <si>
    <t>소모품비</t>
  </si>
  <si>
    <t>E02002524418</t>
  </si>
  <si>
    <t>(뇌마음행동)소모품 구매</t>
  </si>
  <si>
    <t>일반용역비</t>
  </si>
  <si>
    <t>E00002590805</t>
  </si>
  <si>
    <t>(뇌마음행동) 2025 가을 서울대학교 심리학 특강</t>
  </si>
  <si>
    <t>E00002502362</t>
  </si>
  <si>
    <t>(뇌마음행동) 심리학 특강</t>
  </si>
  <si>
    <t>일용임금기타인건비</t>
  </si>
  <si>
    <t>E00002527470</t>
  </si>
  <si>
    <t>(뇌마음행동) 전공 조교 수당(조수빈)(3~5월)</t>
  </si>
  <si>
    <t>회의비</t>
  </si>
  <si>
    <t>기계비품</t>
    <phoneticPr fontId="4" type="noConversion"/>
  </si>
  <si>
    <t>총합계</t>
    <phoneticPr fontId="4" type="noConversion"/>
  </si>
  <si>
    <t>합계</t>
    <phoneticPr fontId="4" type="noConversion"/>
  </si>
  <si>
    <t>하위재배정</t>
    <phoneticPr fontId="4" type="noConversion"/>
  </si>
  <si>
    <t>대학(원)
운영및
교육비
(자체)</t>
    <phoneticPr fontId="4" type="noConversion"/>
  </si>
  <si>
    <t>첨단융합
학부 및
학부대학
설립·운영</t>
    <phoneticPr fontId="4" type="noConversion"/>
  </si>
  <si>
    <t>(뇌마음행동) 카메라 구매</t>
    <phoneticPr fontId="4" type="noConversion"/>
  </si>
  <si>
    <t>(뇌마음행동) 전자칠판, 마이크 구매</t>
    <phoneticPr fontId="4" type="noConversion"/>
  </si>
  <si>
    <t>(뇌마음행동) 도서 구매</t>
    <phoneticPr fontId="4" type="noConversion"/>
  </si>
  <si>
    <t>(뇌마음행동) 소모품 구매</t>
    <phoneticPr fontId="4" type="noConversion"/>
  </si>
  <si>
    <t>(뇌마음행동) 전공운영 회의비</t>
    <phoneticPr fontId="4" type="noConversion"/>
  </si>
  <si>
    <t>E02002409651</t>
  </si>
  <si>
    <t>(뇌마음행동) 전공 조교 수당(한재원)(3월)</t>
  </si>
  <si>
    <t>E02002416266</t>
  </si>
  <si>
    <t>(뇌마음행동) 업무회의 식대</t>
  </si>
  <si>
    <t>E02002415986</t>
  </si>
  <si>
    <t>(뇌마음행동) 전공 조교 수당(한재원)(4월)</t>
  </si>
  <si>
    <t>E02002426908</t>
  </si>
  <si>
    <t>(뇌마음행동) 전공 조교 수당(한재원)(5월)</t>
  </si>
  <si>
    <t>E02002439155</t>
  </si>
  <si>
    <t>(뇌마음행동) 전공 조교 수당(한재원)(6월)</t>
  </si>
  <si>
    <t>E02002449398</t>
  </si>
  <si>
    <t>(뇌마음행동) 전공 조교 수당(한재원)(7월)</t>
  </si>
  <si>
    <t>E02002460559</t>
  </si>
  <si>
    <t>(뇌마음행동) 전공 조교 수당(한재원)(8월)</t>
  </si>
  <si>
    <t>E02002472169</t>
  </si>
  <si>
    <t>(뇌마음행동) 전공 조교 수당(한재원)(9월)</t>
  </si>
  <si>
    <t>E02002482858</t>
  </si>
  <si>
    <t>(뇌마음행동) 전공 조교 수당(한재원)(10월)</t>
  </si>
  <si>
    <t>E02002499422</t>
  </si>
  <si>
    <t>(뇌마음행동) 전공 조교 수당(한재원)(11월)</t>
  </si>
  <si>
    <t>E02002413552</t>
  </si>
  <si>
    <t>(뇌마음행동) 전공 조교 수당(한재원)(12월)</t>
  </si>
  <si>
    <t>E02002423607</t>
  </si>
  <si>
    <t>(뇌마음행동) 수업자료 제작</t>
  </si>
  <si>
    <t>E02002423606</t>
  </si>
  <si>
    <t>(뇌마음행동) 소모품 구매</t>
  </si>
  <si>
    <t>E02002428684</t>
  </si>
  <si>
    <t>(뇌마음행동) 전공 조교 수당(한재원)(1월)</t>
  </si>
  <si>
    <t>E02002428687</t>
  </si>
  <si>
    <t>(뇌마음행동) 전공 조교 수당(한재원)(2월)</t>
  </si>
  <si>
    <t>E02002430589</t>
  </si>
  <si>
    <t>(뇌마음행동) 개별연구 발표회 특강료 지급</t>
  </si>
  <si>
    <t>E02002438263</t>
  </si>
  <si>
    <t>(뇌마음행동) 도서 구매</t>
  </si>
  <si>
    <t>E02002438276</t>
  </si>
  <si>
    <t>E02002438257</t>
  </si>
  <si>
    <t>(뇌마음행동) 운영 회의비</t>
  </si>
  <si>
    <t>E02002472021</t>
  </si>
  <si>
    <t>(뇌마음행동) 운영위원회 회의 식대</t>
  </si>
  <si>
    <t>E02002401733</t>
  </si>
  <si>
    <t>(뇌마음행동) 심리학 특강료 지급(이지항, 이해연)</t>
  </si>
  <si>
    <t>E02002406650</t>
  </si>
  <si>
    <t>(뇌마음행동-대학혁신지원사업) 개발연구 발표회 관련 회의 식대</t>
  </si>
  <si>
    <t>E02002410572</t>
  </si>
  <si>
    <t>(뇌마음행동-대학혁신지원사업) 심리학 특강료 지급(홍석준)</t>
  </si>
  <si>
    <t>E02002413575</t>
  </si>
  <si>
    <t>(뇌마음행동-대학혁신지원사업) 심리학 특강료 지급(이재윤)</t>
  </si>
  <si>
    <t>E02002426354</t>
  </si>
  <si>
    <t>(뇌마음행동-대학혁신지원사업) 개별연구 발표회 준비 회의</t>
  </si>
  <si>
    <t>E02002424846</t>
  </si>
  <si>
    <t>(뇌마음행동-대학혁신지원사업) 개별연구 발표회</t>
  </si>
  <si>
    <t>E02002424848</t>
  </si>
  <si>
    <t>(뇌마음행동-대학혁신지원사업) 개별연구 발표회 만찬</t>
  </si>
  <si>
    <t>E02002438238</t>
  </si>
  <si>
    <t>(뇌마음행동-대학혁신지원사업) 운영위원회 회의비</t>
  </si>
  <si>
    <t>E02002438244</t>
  </si>
  <si>
    <t>(뇌마음행동-대학혁신지원사업) 소모품 구매</t>
  </si>
  <si>
    <t>기계비품</t>
  </si>
  <si>
    <t>PO250209000005</t>
  </si>
  <si>
    <t>(뇌마음행동-대학혁신지원사업) 전자칠판</t>
    <phoneticPr fontId="4" type="noConversion"/>
  </si>
  <si>
    <t>대학혁신
지원사업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</si>
</sst>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.mm\.dd"/>
  </numFmts>
  <fonts count="8" x14ac:knownFonts="1">
    <font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right" vertical="center"/>
    </xf>
    <xf numFmtId="41" fontId="2" fillId="3" borderId="1" xfId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left" vertical="center"/>
    </xf>
    <xf numFmtId="176" fontId="5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41" fontId="5" fillId="4" borderId="1" xfId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176" fontId="2" fillId="3" borderId="12" xfId="0" applyNumberFormat="1" applyFont="1" applyFill="1" applyBorder="1" applyAlignment="1">
      <alignment vertical="center"/>
    </xf>
    <xf numFmtId="0" fontId="2" fillId="3" borderId="12" xfId="0" applyFont="1" applyFill="1" applyBorder="1" applyAlignment="1">
      <alignment horizontal="left" vertical="center"/>
    </xf>
    <xf numFmtId="41" fontId="2" fillId="3" borderId="12" xfId="1" applyFont="1" applyFill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41" fontId="5" fillId="0" borderId="1" xfId="1" applyFont="1" applyFill="1" applyBorder="1" applyAlignment="1">
      <alignment horizontal="right" vertical="center"/>
    </xf>
    <xf numFmtId="0" fontId="5" fillId="4" borderId="11" xfId="0" applyFont="1" applyFill="1" applyBorder="1" applyAlignment="1">
      <alignment horizontal="left" vertical="center"/>
    </xf>
    <xf numFmtId="176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horizontal="left" vertical="center"/>
    </xf>
    <xf numFmtId="41" fontId="5" fillId="4" borderId="4" xfId="1" applyFont="1" applyFill="1" applyBorder="1" applyAlignment="1">
      <alignment horizontal="right" vertical="center"/>
    </xf>
    <xf numFmtId="0" fontId="7" fillId="5" borderId="2" xfId="0" applyFont="1" applyFill="1" applyBorder="1"/>
    <xf numFmtId="41" fontId="7" fillId="5" borderId="2" xfId="0" applyNumberFormat="1" applyFont="1" applyFill="1" applyBorder="1"/>
    <xf numFmtId="0" fontId="5" fillId="0" borderId="2" xfId="0" applyFont="1" applyBorder="1"/>
    <xf numFmtId="41" fontId="5" fillId="0" borderId="2" xfId="1" applyFont="1" applyFill="1" applyBorder="1" applyAlignment="1"/>
    <xf numFmtId="0" fontId="6" fillId="0" borderId="0" xfId="0" applyFont="1"/>
    <xf numFmtId="0" fontId="6" fillId="0" borderId="1" xfId="0" applyFont="1" applyBorder="1" applyAlignment="1">
      <alignment horizontal="left" vertical="center"/>
    </xf>
    <xf numFmtId="41" fontId="6" fillId="0" borderId="1" xfId="1" applyFont="1" applyFill="1" applyBorder="1" applyAlignment="1">
      <alignment horizontal="right" vertical="center"/>
    </xf>
    <xf numFmtId="0" fontId="6" fillId="0" borderId="2" xfId="0" applyFont="1" applyBorder="1"/>
    <xf numFmtId="41" fontId="6" fillId="0" borderId="2" xfId="1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left" vertical="center"/>
    </xf>
    <xf numFmtId="41" fontId="6" fillId="0" borderId="2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41" fontId="6" fillId="0" borderId="2" xfId="1" applyFont="1" applyBorder="1" applyAlignment="1"/>
    <xf numFmtId="41" fontId="2" fillId="3" borderId="4" xfId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90" zoomScaleNormal="90" zoomScaleSheetLayoutView="100" workbookViewId="0"/>
  </sheetViews>
  <sheetFormatPr defaultRowHeight="17.399999999999999" x14ac:dyDescent="0.4"/>
  <cols>
    <col min="2" max="2" width="17.296875" bestFit="1" customWidth="1"/>
    <col min="3" max="4" width="20" customWidth="1"/>
    <col min="5" max="5" width="44.5" bestFit="1" customWidth="1"/>
    <col min="6" max="7" width="20" customWidth="1"/>
  </cols>
  <sheetData>
    <row r="1" spans="1:7" x14ac:dyDescent="0.4">
      <c r="A1" s="4" t="s">
        <v>21</v>
      </c>
      <c r="B1" s="4" t="s">
        <v>18</v>
      </c>
      <c r="C1" s="4" t="s">
        <v>17</v>
      </c>
      <c r="D1" s="4" t="s">
        <v>15</v>
      </c>
      <c r="E1" s="4" t="s">
        <v>14</v>
      </c>
      <c r="F1" s="4" t="s">
        <v>19</v>
      </c>
      <c r="G1" s="4" t="s">
        <v>20</v>
      </c>
    </row>
    <row r="2" spans="1:7" s="27" customFormat="1" ht="15.6" x14ac:dyDescent="0.35">
      <c r="A2" s="47" t="s">
        <v>40</v>
      </c>
      <c r="B2" s="25"/>
      <c r="C2" s="25"/>
      <c r="D2" s="25"/>
      <c r="E2" s="30" t="s">
        <v>38</v>
      </c>
      <c r="F2" s="31">
        <v>12128000</v>
      </c>
      <c r="G2" s="26"/>
    </row>
    <row r="3" spans="1:7" x14ac:dyDescent="0.4">
      <c r="A3" s="48"/>
      <c r="B3" s="45" t="s">
        <v>16</v>
      </c>
      <c r="C3" s="12">
        <v>45882</v>
      </c>
      <c r="D3" s="13" t="s">
        <v>12</v>
      </c>
      <c r="E3" s="13" t="s">
        <v>3</v>
      </c>
      <c r="F3" s="14"/>
      <c r="G3" s="14">
        <v>72500</v>
      </c>
    </row>
    <row r="4" spans="1:7" x14ac:dyDescent="0.4">
      <c r="A4" s="48"/>
      <c r="B4" s="45"/>
      <c r="C4" s="2">
        <v>45954</v>
      </c>
      <c r="D4" s="1" t="s">
        <v>13</v>
      </c>
      <c r="E4" s="1" t="s">
        <v>2</v>
      </c>
      <c r="F4" s="6">
        <v>0</v>
      </c>
      <c r="G4" s="6">
        <v>237300</v>
      </c>
    </row>
    <row r="5" spans="1:7" x14ac:dyDescent="0.4">
      <c r="A5" s="48"/>
      <c r="B5" s="45"/>
      <c r="C5" s="2">
        <v>45972</v>
      </c>
      <c r="D5" s="1" t="s">
        <v>13</v>
      </c>
      <c r="E5" s="1" t="s">
        <v>2</v>
      </c>
      <c r="F5" s="6">
        <v>0</v>
      </c>
      <c r="G5" s="6">
        <v>118000</v>
      </c>
    </row>
    <row r="6" spans="1:7" x14ac:dyDescent="0.4">
      <c r="A6" s="48"/>
      <c r="B6" s="45"/>
      <c r="C6" s="2">
        <v>46007</v>
      </c>
      <c r="D6" s="1" t="s">
        <v>7</v>
      </c>
      <c r="E6" s="1" t="s">
        <v>4</v>
      </c>
      <c r="F6" s="6">
        <v>0</v>
      </c>
      <c r="G6" s="6">
        <v>290500</v>
      </c>
    </row>
    <row r="7" spans="1:7" x14ac:dyDescent="0.4">
      <c r="A7" s="48"/>
      <c r="B7" s="45"/>
      <c r="C7" s="2">
        <v>46007</v>
      </c>
      <c r="D7" s="1" t="s">
        <v>7</v>
      </c>
      <c r="E7" s="1" t="s">
        <v>4</v>
      </c>
      <c r="F7" s="6">
        <v>0</v>
      </c>
      <c r="G7" s="6">
        <v>275000</v>
      </c>
    </row>
    <row r="8" spans="1:7" x14ac:dyDescent="0.4">
      <c r="A8" s="48"/>
      <c r="B8" s="45"/>
      <c r="C8" s="2">
        <v>46017</v>
      </c>
      <c r="D8" s="1" t="s">
        <v>8</v>
      </c>
      <c r="E8" s="1" t="s">
        <v>0</v>
      </c>
      <c r="F8" s="6">
        <v>0</v>
      </c>
      <c r="G8" s="6">
        <v>300000</v>
      </c>
    </row>
    <row r="9" spans="1:7" x14ac:dyDescent="0.4">
      <c r="A9" s="48"/>
      <c r="B9" s="45"/>
      <c r="C9" s="2">
        <v>46017</v>
      </c>
      <c r="D9" s="1" t="s">
        <v>8</v>
      </c>
      <c r="E9" s="1" t="s">
        <v>0</v>
      </c>
      <c r="F9" s="6">
        <v>0</v>
      </c>
      <c r="G9" s="6">
        <v>300000</v>
      </c>
    </row>
    <row r="10" spans="1:7" x14ac:dyDescent="0.4">
      <c r="A10" s="48"/>
      <c r="B10" s="45"/>
      <c r="C10" s="2">
        <v>46027</v>
      </c>
      <c r="D10" s="1" t="s">
        <v>9</v>
      </c>
      <c r="E10" s="1" t="s">
        <v>6</v>
      </c>
      <c r="F10" s="6">
        <v>0</v>
      </c>
      <c r="G10" s="6">
        <v>369600</v>
      </c>
    </row>
    <row r="11" spans="1:7" x14ac:dyDescent="0.4">
      <c r="A11" s="48"/>
      <c r="B11" s="45"/>
      <c r="C11" s="2">
        <v>46027</v>
      </c>
      <c r="D11" s="1" t="s">
        <v>10</v>
      </c>
      <c r="E11" s="1" t="s">
        <v>5</v>
      </c>
      <c r="F11" s="6">
        <v>0</v>
      </c>
      <c r="G11" s="6">
        <v>439200</v>
      </c>
    </row>
    <row r="12" spans="1:7" x14ac:dyDescent="0.4">
      <c r="A12" s="48"/>
      <c r="B12" s="45"/>
      <c r="C12" s="2">
        <v>46027</v>
      </c>
      <c r="D12" s="1" t="s">
        <v>10</v>
      </c>
      <c r="E12" s="1" t="s">
        <v>5</v>
      </c>
      <c r="F12" s="6">
        <v>0</v>
      </c>
      <c r="G12" s="6">
        <v>94100</v>
      </c>
    </row>
    <row r="13" spans="1:7" x14ac:dyDescent="0.4">
      <c r="A13" s="48"/>
      <c r="B13" s="45"/>
      <c r="C13" s="2">
        <v>46027</v>
      </c>
      <c r="D13" s="1" t="s">
        <v>10</v>
      </c>
      <c r="E13" s="1" t="s">
        <v>5</v>
      </c>
      <c r="F13" s="6">
        <v>0</v>
      </c>
      <c r="G13" s="6">
        <v>36400</v>
      </c>
    </row>
    <row r="14" spans="1:7" x14ac:dyDescent="0.4">
      <c r="A14" s="48"/>
      <c r="B14" s="45"/>
      <c r="C14" s="2">
        <v>46027</v>
      </c>
      <c r="D14" s="1" t="s">
        <v>10</v>
      </c>
      <c r="E14" s="1" t="s">
        <v>5</v>
      </c>
      <c r="F14" s="6">
        <v>0</v>
      </c>
      <c r="G14" s="6">
        <v>591960</v>
      </c>
    </row>
    <row r="15" spans="1:7" x14ac:dyDescent="0.4">
      <c r="A15" s="48"/>
      <c r="B15" s="45"/>
      <c r="C15" s="2">
        <v>46027</v>
      </c>
      <c r="D15" s="1" t="s">
        <v>10</v>
      </c>
      <c r="E15" s="1" t="s">
        <v>5</v>
      </c>
      <c r="F15" s="6">
        <v>0</v>
      </c>
      <c r="G15" s="6">
        <v>157300</v>
      </c>
    </row>
    <row r="16" spans="1:7" x14ac:dyDescent="0.4">
      <c r="A16" s="48"/>
      <c r="B16" s="45"/>
      <c r="C16" s="2">
        <v>46027</v>
      </c>
      <c r="D16" s="1" t="s">
        <v>10</v>
      </c>
      <c r="E16" s="1" t="s">
        <v>5</v>
      </c>
      <c r="F16" s="6">
        <v>0</v>
      </c>
      <c r="G16" s="6">
        <v>1038000</v>
      </c>
    </row>
    <row r="17" spans="1:7" x14ac:dyDescent="0.4">
      <c r="A17" s="48"/>
      <c r="B17" s="45"/>
      <c r="C17" s="2">
        <v>46027</v>
      </c>
      <c r="D17" s="1" t="s">
        <v>10</v>
      </c>
      <c r="E17" s="1" t="s">
        <v>5</v>
      </c>
      <c r="F17" s="6">
        <v>0</v>
      </c>
      <c r="G17" s="6">
        <v>2056000</v>
      </c>
    </row>
    <row r="18" spans="1:7" x14ac:dyDescent="0.4">
      <c r="A18" s="48"/>
      <c r="B18" s="45"/>
      <c r="C18" s="2">
        <v>46043</v>
      </c>
      <c r="D18" s="1" t="s">
        <v>11</v>
      </c>
      <c r="E18" s="1" t="s">
        <v>1</v>
      </c>
      <c r="F18" s="6">
        <v>0</v>
      </c>
      <c r="G18" s="6">
        <v>470000</v>
      </c>
    </row>
    <row r="19" spans="1:7" x14ac:dyDescent="0.4">
      <c r="A19" s="48"/>
      <c r="B19" s="45"/>
      <c r="C19" s="2">
        <v>46043</v>
      </c>
      <c r="D19" s="1" t="s">
        <v>11</v>
      </c>
      <c r="E19" s="1" t="s">
        <v>1</v>
      </c>
      <c r="F19" s="6">
        <v>0</v>
      </c>
      <c r="G19" s="6">
        <v>380000</v>
      </c>
    </row>
    <row r="20" spans="1:7" x14ac:dyDescent="0.4">
      <c r="A20" s="48"/>
      <c r="B20" s="46"/>
      <c r="C20" s="2">
        <v>46062</v>
      </c>
      <c r="D20" s="1"/>
      <c r="E20" s="1" t="s">
        <v>45</v>
      </c>
      <c r="F20" s="6">
        <v>0</v>
      </c>
      <c r="G20" s="6">
        <v>95140</v>
      </c>
    </row>
    <row r="21" spans="1:7" x14ac:dyDescent="0.4">
      <c r="A21" s="48"/>
      <c r="B21" s="11" t="s">
        <v>35</v>
      </c>
      <c r="C21" s="5">
        <v>46062</v>
      </c>
      <c r="D21" s="1"/>
      <c r="E21" s="1" t="s">
        <v>42</v>
      </c>
      <c r="F21" s="6">
        <v>0</v>
      </c>
      <c r="G21" s="6">
        <v>4807000</v>
      </c>
    </row>
    <row r="22" spans="1:7" x14ac:dyDescent="0.4">
      <c r="A22" s="49"/>
      <c r="B22" s="7"/>
      <c r="C22" s="8"/>
      <c r="D22" s="9"/>
      <c r="E22" s="9" t="s">
        <v>37</v>
      </c>
      <c r="F22" s="10">
        <f>SUM(F2:F21)</f>
        <v>12128000</v>
      </c>
      <c r="G22" s="10">
        <f>SUM(G3:G21)</f>
        <v>12128000</v>
      </c>
    </row>
    <row r="23" spans="1:7" x14ac:dyDescent="0.4">
      <c r="A23" s="50" t="s">
        <v>39</v>
      </c>
      <c r="B23" s="15"/>
      <c r="C23" s="16"/>
      <c r="D23" s="17"/>
      <c r="E23" s="28" t="s">
        <v>38</v>
      </c>
      <c r="F23" s="29">
        <v>5000000</v>
      </c>
      <c r="G23" s="18"/>
    </row>
    <row r="24" spans="1:7" x14ac:dyDescent="0.4">
      <c r="A24" s="48"/>
      <c r="B24" s="3" t="s">
        <v>31</v>
      </c>
      <c r="C24" s="2">
        <v>45800</v>
      </c>
      <c r="D24" s="1" t="s">
        <v>32</v>
      </c>
      <c r="E24" s="1" t="s">
        <v>33</v>
      </c>
      <c r="F24" s="6">
        <v>0</v>
      </c>
      <c r="G24" s="6">
        <v>300000</v>
      </c>
    </row>
    <row r="25" spans="1:7" x14ac:dyDescent="0.4">
      <c r="A25" s="48"/>
      <c r="B25" s="3" t="s">
        <v>31</v>
      </c>
      <c r="C25" s="2">
        <v>45800</v>
      </c>
      <c r="D25" s="1" t="s">
        <v>32</v>
      </c>
      <c r="E25" s="1" t="s">
        <v>33</v>
      </c>
      <c r="F25" s="6">
        <v>0</v>
      </c>
      <c r="G25" s="6">
        <v>300000</v>
      </c>
    </row>
    <row r="26" spans="1:7" x14ac:dyDescent="0.4">
      <c r="A26" s="48"/>
      <c r="B26" s="3" t="s">
        <v>31</v>
      </c>
      <c r="C26" s="2">
        <v>45800</v>
      </c>
      <c r="D26" s="1" t="s">
        <v>32</v>
      </c>
      <c r="E26" s="1" t="s">
        <v>33</v>
      </c>
      <c r="F26" s="6">
        <v>0</v>
      </c>
      <c r="G26" s="6">
        <v>300000</v>
      </c>
    </row>
    <row r="27" spans="1:7" x14ac:dyDescent="0.4">
      <c r="A27" s="48"/>
      <c r="B27" s="3" t="s">
        <v>26</v>
      </c>
      <c r="C27" s="2">
        <v>45967</v>
      </c>
      <c r="D27" s="1" t="s">
        <v>27</v>
      </c>
      <c r="E27" s="1" t="s">
        <v>28</v>
      </c>
      <c r="F27" s="6">
        <v>0</v>
      </c>
      <c r="G27" s="6">
        <v>300000</v>
      </c>
    </row>
    <row r="28" spans="1:7" x14ac:dyDescent="0.4">
      <c r="A28" s="48"/>
      <c r="B28" s="3" t="s">
        <v>26</v>
      </c>
      <c r="C28" s="2">
        <v>45967</v>
      </c>
      <c r="D28" s="1" t="s">
        <v>27</v>
      </c>
      <c r="E28" s="1" t="s">
        <v>28</v>
      </c>
      <c r="F28" s="6">
        <v>0</v>
      </c>
      <c r="G28" s="6">
        <v>300000</v>
      </c>
    </row>
    <row r="29" spans="1:7" x14ac:dyDescent="0.4">
      <c r="A29" s="48"/>
      <c r="B29" s="3" t="s">
        <v>26</v>
      </c>
      <c r="C29" s="2">
        <v>45994</v>
      </c>
      <c r="D29" s="1" t="s">
        <v>29</v>
      </c>
      <c r="E29" s="1" t="s">
        <v>30</v>
      </c>
      <c r="F29" s="6">
        <v>0</v>
      </c>
      <c r="G29" s="6">
        <v>300000</v>
      </c>
    </row>
    <row r="30" spans="1:7" x14ac:dyDescent="0.4">
      <c r="A30" s="48"/>
      <c r="B30" s="3" t="s">
        <v>26</v>
      </c>
      <c r="C30" s="2">
        <v>45994</v>
      </c>
      <c r="D30" s="1" t="s">
        <v>29</v>
      </c>
      <c r="E30" s="1" t="s">
        <v>30</v>
      </c>
      <c r="F30" s="6">
        <v>0</v>
      </c>
      <c r="G30" s="6">
        <v>300000</v>
      </c>
    </row>
    <row r="31" spans="1:7" x14ac:dyDescent="0.4">
      <c r="A31" s="48"/>
      <c r="B31" s="3" t="s">
        <v>23</v>
      </c>
      <c r="C31" s="2">
        <v>46036</v>
      </c>
      <c r="D31" s="1" t="s">
        <v>24</v>
      </c>
      <c r="E31" s="1" t="s">
        <v>25</v>
      </c>
      <c r="F31" s="6">
        <v>0</v>
      </c>
      <c r="G31" s="6">
        <v>19870</v>
      </c>
    </row>
    <row r="32" spans="1:7" x14ac:dyDescent="0.4">
      <c r="A32" s="48"/>
      <c r="B32" s="3" t="s">
        <v>34</v>
      </c>
      <c r="C32" s="2">
        <v>46062</v>
      </c>
      <c r="D32" s="1"/>
      <c r="E32" s="1" t="s">
        <v>45</v>
      </c>
      <c r="F32" s="6">
        <v>0</v>
      </c>
      <c r="G32" s="6">
        <v>118000</v>
      </c>
    </row>
    <row r="33" spans="1:7" x14ac:dyDescent="0.4">
      <c r="A33" s="48"/>
      <c r="B33" s="3" t="s">
        <v>34</v>
      </c>
      <c r="C33" s="2">
        <v>46062</v>
      </c>
      <c r="D33" s="1"/>
      <c r="E33" s="1" t="s">
        <v>45</v>
      </c>
      <c r="F33" s="6">
        <v>0</v>
      </c>
      <c r="G33" s="6">
        <v>62000</v>
      </c>
    </row>
    <row r="34" spans="1:7" x14ac:dyDescent="0.4">
      <c r="A34" s="48"/>
      <c r="B34" s="3" t="s">
        <v>22</v>
      </c>
      <c r="C34" s="2">
        <v>46062</v>
      </c>
      <c r="D34" s="1"/>
      <c r="E34" s="1" t="s">
        <v>43</v>
      </c>
      <c r="F34" s="6">
        <v>0</v>
      </c>
      <c r="G34" s="6">
        <v>75000</v>
      </c>
    </row>
    <row r="35" spans="1:7" x14ac:dyDescent="0.4">
      <c r="A35" s="48"/>
      <c r="B35" s="3" t="s">
        <v>23</v>
      </c>
      <c r="C35" s="2">
        <v>46062</v>
      </c>
      <c r="D35" s="1"/>
      <c r="E35" s="1" t="s">
        <v>44</v>
      </c>
      <c r="F35" s="6">
        <v>0</v>
      </c>
      <c r="G35" s="6">
        <v>23130</v>
      </c>
    </row>
    <row r="36" spans="1:7" x14ac:dyDescent="0.4">
      <c r="A36" s="48"/>
      <c r="B36" s="3" t="s">
        <v>23</v>
      </c>
      <c r="C36" s="2">
        <v>46062</v>
      </c>
      <c r="D36" s="1"/>
      <c r="E36" s="1" t="s">
        <v>44</v>
      </c>
      <c r="F36" s="6">
        <v>0</v>
      </c>
      <c r="G36" s="6">
        <v>138000</v>
      </c>
    </row>
    <row r="37" spans="1:7" x14ac:dyDescent="0.4">
      <c r="A37" s="48"/>
      <c r="B37" s="3" t="s">
        <v>35</v>
      </c>
      <c r="C37" s="2">
        <v>46062</v>
      </c>
      <c r="D37" s="1"/>
      <c r="E37" s="1" t="s">
        <v>41</v>
      </c>
      <c r="F37" s="6">
        <v>0</v>
      </c>
      <c r="G37" s="6">
        <v>2464000</v>
      </c>
    </row>
    <row r="38" spans="1:7" x14ac:dyDescent="0.4">
      <c r="A38" s="48"/>
      <c r="B38" s="19"/>
      <c r="C38" s="20"/>
      <c r="D38" s="21"/>
      <c r="E38" s="21" t="s">
        <v>37</v>
      </c>
      <c r="F38" s="22">
        <f>SUM(F23:F37)</f>
        <v>5000000</v>
      </c>
      <c r="G38" s="22">
        <f>SUM(G24:G37)</f>
        <v>5000000</v>
      </c>
    </row>
    <row r="39" spans="1:7" x14ac:dyDescent="0.4">
      <c r="A39" s="23"/>
      <c r="B39" s="23"/>
      <c r="C39" s="23"/>
      <c r="D39" s="23"/>
      <c r="E39" s="23" t="s">
        <v>36</v>
      </c>
      <c r="F39" s="24">
        <f>SUM(F22,F38)</f>
        <v>17128000</v>
      </c>
      <c r="G39" s="24">
        <f>SUM(G22,G38)</f>
        <v>17128000</v>
      </c>
    </row>
  </sheetData>
  <mergeCells count="3">
    <mergeCell ref="B3:B20"/>
    <mergeCell ref="A2:A22"/>
    <mergeCell ref="A23:A3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CC0D-6D99-4699-97AD-956DCFE764D3}">
  <dimension ref="A1:G43"/>
  <sheetViews>
    <sheetView zoomScale="90" zoomScaleNormal="90" workbookViewId="0"/>
  </sheetViews>
  <sheetFormatPr defaultRowHeight="17.399999999999999" x14ac:dyDescent="0.4"/>
  <cols>
    <col min="2" max="2" width="17.296875" style="38" bestFit="1" customWidth="1"/>
    <col min="3" max="4" width="20" customWidth="1"/>
    <col min="5" max="5" width="44.5" bestFit="1" customWidth="1"/>
    <col min="6" max="7" width="20" customWidth="1"/>
  </cols>
  <sheetData>
    <row r="1" spans="1:7" x14ac:dyDescent="0.4">
      <c r="A1" s="32" t="s">
        <v>21</v>
      </c>
      <c r="B1" s="32" t="s">
        <v>18</v>
      </c>
      <c r="C1" s="32" t="s">
        <v>17</v>
      </c>
      <c r="D1" s="32" t="s">
        <v>15</v>
      </c>
      <c r="E1" s="32" t="s">
        <v>14</v>
      </c>
      <c r="F1" s="32" t="s">
        <v>19</v>
      </c>
      <c r="G1" s="32" t="s">
        <v>20</v>
      </c>
    </row>
    <row r="2" spans="1:7" x14ac:dyDescent="0.4">
      <c r="A2" s="54" t="s">
        <v>106</v>
      </c>
      <c r="B2" s="41"/>
      <c r="C2" s="36"/>
      <c r="D2" s="36"/>
      <c r="E2" s="39" t="s">
        <v>38</v>
      </c>
      <c r="F2" s="40">
        <v>11240000</v>
      </c>
      <c r="G2" s="40">
        <v>0</v>
      </c>
    </row>
    <row r="3" spans="1:7" x14ac:dyDescent="0.4">
      <c r="A3" s="54"/>
      <c r="B3" s="51" t="s">
        <v>16</v>
      </c>
      <c r="C3" s="2">
        <v>45547</v>
      </c>
      <c r="D3" s="1" t="s">
        <v>83</v>
      </c>
      <c r="E3" s="1" t="s">
        <v>84</v>
      </c>
      <c r="F3" s="6">
        <v>0</v>
      </c>
      <c r="G3" s="6">
        <v>242500</v>
      </c>
    </row>
    <row r="4" spans="1:7" x14ac:dyDescent="0.4">
      <c r="A4" s="54"/>
      <c r="B4" s="52"/>
      <c r="C4" s="2">
        <v>45622</v>
      </c>
      <c r="D4" s="1" t="s">
        <v>85</v>
      </c>
      <c r="E4" s="1" t="s">
        <v>86</v>
      </c>
      <c r="F4" s="6">
        <v>0</v>
      </c>
      <c r="G4" s="6">
        <v>300000</v>
      </c>
    </row>
    <row r="5" spans="1:7" x14ac:dyDescent="0.4">
      <c r="A5" s="54"/>
      <c r="B5" s="52"/>
      <c r="C5" s="2">
        <v>45622</v>
      </c>
      <c r="D5" s="1" t="s">
        <v>85</v>
      </c>
      <c r="E5" s="1" t="s">
        <v>86</v>
      </c>
      <c r="F5" s="6">
        <v>0</v>
      </c>
      <c r="G5" s="6">
        <v>300000</v>
      </c>
    </row>
    <row r="6" spans="1:7" x14ac:dyDescent="0.4">
      <c r="A6" s="54"/>
      <c r="B6" s="52"/>
      <c r="C6" s="2">
        <v>45624</v>
      </c>
      <c r="D6" s="1" t="s">
        <v>87</v>
      </c>
      <c r="E6" s="1" t="s">
        <v>88</v>
      </c>
      <c r="F6" s="6">
        <v>0</v>
      </c>
      <c r="G6" s="6">
        <v>167200</v>
      </c>
    </row>
    <row r="7" spans="1:7" x14ac:dyDescent="0.4">
      <c r="A7" s="54"/>
      <c r="B7" s="52"/>
      <c r="C7" s="2">
        <v>45641</v>
      </c>
      <c r="D7" s="1" t="s">
        <v>89</v>
      </c>
      <c r="E7" s="1" t="s">
        <v>90</v>
      </c>
      <c r="F7" s="6">
        <v>0</v>
      </c>
      <c r="G7" s="6">
        <v>300000</v>
      </c>
    </row>
    <row r="8" spans="1:7" x14ac:dyDescent="0.4">
      <c r="A8" s="54"/>
      <c r="B8" s="52"/>
      <c r="C8" s="2">
        <v>45649</v>
      </c>
      <c r="D8" s="1" t="s">
        <v>91</v>
      </c>
      <c r="E8" s="1" t="s">
        <v>92</v>
      </c>
      <c r="F8" s="6">
        <v>0</v>
      </c>
      <c r="G8" s="6">
        <v>300000</v>
      </c>
    </row>
    <row r="9" spans="1:7" x14ac:dyDescent="0.4">
      <c r="A9" s="54"/>
      <c r="B9" s="52"/>
      <c r="C9" s="2">
        <v>45664</v>
      </c>
      <c r="D9" s="1" t="s">
        <v>93</v>
      </c>
      <c r="E9" s="1" t="s">
        <v>94</v>
      </c>
      <c r="F9" s="6">
        <v>0</v>
      </c>
      <c r="G9" s="6">
        <v>57500</v>
      </c>
    </row>
    <row r="10" spans="1:7" x14ac:dyDescent="0.4">
      <c r="A10" s="54"/>
      <c r="B10" s="52"/>
      <c r="C10" s="2">
        <v>45667</v>
      </c>
      <c r="D10" s="1" t="s">
        <v>95</v>
      </c>
      <c r="E10" s="1" t="s">
        <v>96</v>
      </c>
      <c r="F10" s="6">
        <v>0</v>
      </c>
      <c r="G10" s="6">
        <v>374000</v>
      </c>
    </row>
    <row r="11" spans="1:7" x14ac:dyDescent="0.4">
      <c r="A11" s="54"/>
      <c r="B11" s="52"/>
      <c r="C11" s="2">
        <v>45667</v>
      </c>
      <c r="D11" s="1" t="s">
        <v>95</v>
      </c>
      <c r="E11" s="1" t="s">
        <v>96</v>
      </c>
      <c r="F11" s="6">
        <v>0</v>
      </c>
      <c r="G11" s="6">
        <v>151620</v>
      </c>
    </row>
    <row r="12" spans="1:7" x14ac:dyDescent="0.4">
      <c r="A12" s="54"/>
      <c r="B12" s="52"/>
      <c r="C12" s="2">
        <v>45667</v>
      </c>
      <c r="D12" s="1" t="s">
        <v>95</v>
      </c>
      <c r="E12" s="1" t="s">
        <v>96</v>
      </c>
      <c r="F12" s="6">
        <v>0</v>
      </c>
      <c r="G12" s="6">
        <v>645000</v>
      </c>
    </row>
    <row r="13" spans="1:7" x14ac:dyDescent="0.4">
      <c r="A13" s="54"/>
      <c r="B13" s="52"/>
      <c r="C13" s="2">
        <v>45667</v>
      </c>
      <c r="D13" s="1" t="s">
        <v>95</v>
      </c>
      <c r="E13" s="1" t="s">
        <v>96</v>
      </c>
      <c r="F13" s="6">
        <v>0</v>
      </c>
      <c r="G13" s="6">
        <v>220000</v>
      </c>
    </row>
    <row r="14" spans="1:7" x14ac:dyDescent="0.4">
      <c r="A14" s="54"/>
      <c r="B14" s="52"/>
      <c r="C14" s="2">
        <v>45667</v>
      </c>
      <c r="D14" s="1" t="s">
        <v>95</v>
      </c>
      <c r="E14" s="1" t="s">
        <v>96</v>
      </c>
      <c r="F14" s="6">
        <v>0</v>
      </c>
      <c r="G14" s="6">
        <v>1706000</v>
      </c>
    </row>
    <row r="15" spans="1:7" x14ac:dyDescent="0.4">
      <c r="A15" s="54"/>
      <c r="B15" s="52"/>
      <c r="C15" s="2">
        <v>45667</v>
      </c>
      <c r="D15" s="1" t="s">
        <v>95</v>
      </c>
      <c r="E15" s="1" t="s">
        <v>96</v>
      </c>
      <c r="F15" s="6">
        <v>0</v>
      </c>
      <c r="G15" s="6">
        <v>918000</v>
      </c>
    </row>
    <row r="16" spans="1:7" x14ac:dyDescent="0.4">
      <c r="A16" s="54"/>
      <c r="B16" s="52"/>
      <c r="C16" s="2">
        <v>45667</v>
      </c>
      <c r="D16" s="1" t="s">
        <v>97</v>
      </c>
      <c r="E16" s="1" t="s">
        <v>98</v>
      </c>
      <c r="F16" s="6">
        <v>0</v>
      </c>
      <c r="G16" s="6">
        <v>990000</v>
      </c>
    </row>
    <row r="17" spans="1:7" x14ac:dyDescent="0.4">
      <c r="A17" s="54"/>
      <c r="B17" s="52"/>
      <c r="C17" s="2">
        <v>45693</v>
      </c>
      <c r="D17" s="1" t="s">
        <v>99</v>
      </c>
      <c r="E17" s="1" t="s">
        <v>100</v>
      </c>
      <c r="F17" s="6">
        <v>0</v>
      </c>
      <c r="G17" s="6">
        <v>200000</v>
      </c>
    </row>
    <row r="18" spans="1:7" x14ac:dyDescent="0.4">
      <c r="A18" s="54"/>
      <c r="B18" s="53"/>
      <c r="C18" s="2">
        <v>45693</v>
      </c>
      <c r="D18" s="1" t="s">
        <v>101</v>
      </c>
      <c r="E18" s="1" t="s">
        <v>102</v>
      </c>
      <c r="F18" s="6">
        <v>0</v>
      </c>
      <c r="G18" s="6">
        <v>218180</v>
      </c>
    </row>
    <row r="19" spans="1:7" x14ac:dyDescent="0.4">
      <c r="A19" s="54"/>
      <c r="B19" s="11" t="s">
        <v>103</v>
      </c>
      <c r="C19" s="2">
        <v>45698</v>
      </c>
      <c r="D19" s="1" t="s">
        <v>104</v>
      </c>
      <c r="E19" s="1" t="s">
        <v>105</v>
      </c>
      <c r="F19" s="6">
        <v>0</v>
      </c>
      <c r="G19" s="6">
        <v>4150000</v>
      </c>
    </row>
    <row r="20" spans="1:7" x14ac:dyDescent="0.4">
      <c r="A20" s="54"/>
      <c r="B20" s="7"/>
      <c r="C20" s="8"/>
      <c r="D20" s="9"/>
      <c r="E20" s="9" t="s">
        <v>37</v>
      </c>
      <c r="F20" s="10">
        <f>SUM(F2:F19)</f>
        <v>11240000</v>
      </c>
      <c r="G20" s="10">
        <f>SUM(G1:G19)</f>
        <v>11240000</v>
      </c>
    </row>
    <row r="21" spans="1:7" x14ac:dyDescent="0.4">
      <c r="A21" s="55" t="s">
        <v>39</v>
      </c>
      <c r="B21" s="42"/>
      <c r="C21" s="35"/>
      <c r="D21" s="35"/>
      <c r="E21" s="35" t="s">
        <v>38</v>
      </c>
      <c r="F21" s="43">
        <v>5000000</v>
      </c>
      <c r="G21" s="43"/>
    </row>
    <row r="22" spans="1:7" x14ac:dyDescent="0.4">
      <c r="A22" s="55"/>
      <c r="B22" s="11" t="s">
        <v>31</v>
      </c>
      <c r="C22" s="2">
        <v>45390</v>
      </c>
      <c r="D22" s="1" t="s">
        <v>46</v>
      </c>
      <c r="E22" s="1" t="s">
        <v>47</v>
      </c>
      <c r="F22" s="6">
        <v>0</v>
      </c>
      <c r="G22" s="6">
        <v>300000</v>
      </c>
    </row>
    <row r="23" spans="1:7" x14ac:dyDescent="0.4">
      <c r="A23" s="55"/>
      <c r="B23" s="11" t="s">
        <v>34</v>
      </c>
      <c r="C23" s="2">
        <v>45398</v>
      </c>
      <c r="D23" s="1" t="s">
        <v>48</v>
      </c>
      <c r="E23" s="1" t="s">
        <v>49</v>
      </c>
      <c r="F23" s="6">
        <v>0</v>
      </c>
      <c r="G23" s="6">
        <v>71800</v>
      </c>
    </row>
    <row r="24" spans="1:7" x14ac:dyDescent="0.4">
      <c r="A24" s="55"/>
      <c r="B24" s="11" t="s">
        <v>31</v>
      </c>
      <c r="C24" s="2">
        <v>45407</v>
      </c>
      <c r="D24" s="1" t="s">
        <v>50</v>
      </c>
      <c r="E24" s="1" t="s">
        <v>51</v>
      </c>
      <c r="F24" s="6">
        <v>0</v>
      </c>
      <c r="G24" s="6">
        <v>300000</v>
      </c>
    </row>
    <row r="25" spans="1:7" x14ac:dyDescent="0.4">
      <c r="A25" s="55"/>
      <c r="B25" s="11" t="s">
        <v>31</v>
      </c>
      <c r="C25" s="2">
        <v>45436</v>
      </c>
      <c r="D25" s="1" t="s">
        <v>52</v>
      </c>
      <c r="E25" s="1" t="s">
        <v>53</v>
      </c>
      <c r="F25" s="6">
        <v>0</v>
      </c>
      <c r="G25" s="6">
        <v>300000</v>
      </c>
    </row>
    <row r="26" spans="1:7" x14ac:dyDescent="0.4">
      <c r="A26" s="55"/>
      <c r="B26" s="11" t="s">
        <v>31</v>
      </c>
      <c r="C26" s="2">
        <v>45468</v>
      </c>
      <c r="D26" s="1" t="s">
        <v>54</v>
      </c>
      <c r="E26" s="1" t="s">
        <v>55</v>
      </c>
      <c r="F26" s="6">
        <v>0</v>
      </c>
      <c r="G26" s="6">
        <v>300000</v>
      </c>
    </row>
    <row r="27" spans="1:7" x14ac:dyDescent="0.4">
      <c r="A27" s="55"/>
      <c r="B27" s="11" t="s">
        <v>31</v>
      </c>
      <c r="C27" s="2">
        <v>45494</v>
      </c>
      <c r="D27" s="1" t="s">
        <v>56</v>
      </c>
      <c r="E27" s="1" t="s">
        <v>57</v>
      </c>
      <c r="F27" s="6">
        <v>0</v>
      </c>
      <c r="G27" s="6">
        <v>300000</v>
      </c>
    </row>
    <row r="28" spans="1:7" x14ac:dyDescent="0.4">
      <c r="A28" s="55"/>
      <c r="B28" s="11" t="s">
        <v>31</v>
      </c>
      <c r="C28" s="2">
        <v>45524</v>
      </c>
      <c r="D28" s="1" t="s">
        <v>58</v>
      </c>
      <c r="E28" s="1" t="s">
        <v>59</v>
      </c>
      <c r="F28" s="6">
        <v>0</v>
      </c>
      <c r="G28" s="6">
        <v>300000</v>
      </c>
    </row>
    <row r="29" spans="1:7" x14ac:dyDescent="0.4">
      <c r="A29" s="55"/>
      <c r="B29" s="11" t="s">
        <v>31</v>
      </c>
      <c r="C29" s="2">
        <v>45558</v>
      </c>
      <c r="D29" s="1" t="s">
        <v>60</v>
      </c>
      <c r="E29" s="1" t="s">
        <v>61</v>
      </c>
      <c r="F29" s="6">
        <v>0</v>
      </c>
      <c r="G29" s="6">
        <v>300000</v>
      </c>
    </row>
    <row r="30" spans="1:7" x14ac:dyDescent="0.4">
      <c r="A30" s="55"/>
      <c r="B30" s="11" t="s">
        <v>31</v>
      </c>
      <c r="C30" s="2">
        <v>45587</v>
      </c>
      <c r="D30" s="1" t="s">
        <v>62</v>
      </c>
      <c r="E30" s="1" t="s">
        <v>63</v>
      </c>
      <c r="F30" s="6">
        <v>0</v>
      </c>
      <c r="G30" s="6">
        <v>300000</v>
      </c>
    </row>
    <row r="31" spans="1:7" x14ac:dyDescent="0.4">
      <c r="A31" s="55"/>
      <c r="B31" s="11" t="s">
        <v>31</v>
      </c>
      <c r="C31" s="2">
        <v>45616</v>
      </c>
      <c r="D31" s="1" t="s">
        <v>64</v>
      </c>
      <c r="E31" s="1" t="s">
        <v>65</v>
      </c>
      <c r="F31" s="6">
        <v>0</v>
      </c>
      <c r="G31" s="6">
        <v>300000</v>
      </c>
    </row>
    <row r="32" spans="1:7" x14ac:dyDescent="0.4">
      <c r="A32" s="55"/>
      <c r="B32" s="11" t="s">
        <v>31</v>
      </c>
      <c r="C32" s="2">
        <v>45648</v>
      </c>
      <c r="D32" s="1" t="s">
        <v>66</v>
      </c>
      <c r="E32" s="1" t="s">
        <v>67</v>
      </c>
      <c r="F32" s="6">
        <v>0</v>
      </c>
      <c r="G32" s="6">
        <v>300000</v>
      </c>
    </row>
    <row r="33" spans="1:7" x14ac:dyDescent="0.4">
      <c r="A33" s="55"/>
      <c r="B33" s="11" t="s">
        <v>22</v>
      </c>
      <c r="C33" s="2">
        <v>45667</v>
      </c>
      <c r="D33" s="1" t="s">
        <v>68</v>
      </c>
      <c r="E33" s="1" t="s">
        <v>69</v>
      </c>
      <c r="F33" s="6">
        <v>0</v>
      </c>
      <c r="G33" s="6">
        <v>577500</v>
      </c>
    </row>
    <row r="34" spans="1:7" x14ac:dyDescent="0.4">
      <c r="A34" s="55"/>
      <c r="B34" s="11" t="s">
        <v>23</v>
      </c>
      <c r="C34" s="2">
        <v>45667</v>
      </c>
      <c r="D34" s="1" t="s">
        <v>70</v>
      </c>
      <c r="E34" s="1" t="s">
        <v>71</v>
      </c>
      <c r="F34" s="6">
        <v>0</v>
      </c>
      <c r="G34" s="6">
        <v>89900</v>
      </c>
    </row>
    <row r="35" spans="1:7" x14ac:dyDescent="0.4">
      <c r="A35" s="55"/>
      <c r="B35" s="11" t="s">
        <v>23</v>
      </c>
      <c r="C35" s="2">
        <v>45667</v>
      </c>
      <c r="D35" s="1" t="s">
        <v>70</v>
      </c>
      <c r="E35" s="1" t="s">
        <v>71</v>
      </c>
      <c r="F35" s="6">
        <v>0</v>
      </c>
      <c r="G35" s="6">
        <v>45200</v>
      </c>
    </row>
    <row r="36" spans="1:7" x14ac:dyDescent="0.4">
      <c r="A36" s="55"/>
      <c r="B36" s="11" t="s">
        <v>31</v>
      </c>
      <c r="C36" s="2">
        <v>45679</v>
      </c>
      <c r="D36" s="1" t="s">
        <v>72</v>
      </c>
      <c r="E36" s="1" t="s">
        <v>73</v>
      </c>
      <c r="F36" s="6">
        <v>0</v>
      </c>
      <c r="G36" s="6">
        <v>300000</v>
      </c>
    </row>
    <row r="37" spans="1:7" x14ac:dyDescent="0.4">
      <c r="A37" s="55"/>
      <c r="B37" s="11" t="s">
        <v>31</v>
      </c>
      <c r="C37" s="2">
        <v>45679</v>
      </c>
      <c r="D37" s="1" t="s">
        <v>74</v>
      </c>
      <c r="E37" s="1" t="s">
        <v>75</v>
      </c>
      <c r="F37" s="6">
        <v>0</v>
      </c>
      <c r="G37" s="6">
        <v>300000</v>
      </c>
    </row>
    <row r="38" spans="1:7" x14ac:dyDescent="0.4">
      <c r="A38" s="55"/>
      <c r="B38" s="11" t="s">
        <v>26</v>
      </c>
      <c r="C38" s="2">
        <v>45689</v>
      </c>
      <c r="D38" s="1" t="s">
        <v>76</v>
      </c>
      <c r="E38" s="1" t="s">
        <v>77</v>
      </c>
      <c r="F38" s="6">
        <v>0</v>
      </c>
      <c r="G38" s="6">
        <v>300000</v>
      </c>
    </row>
    <row r="39" spans="1:7" x14ac:dyDescent="0.4">
      <c r="A39" s="55"/>
      <c r="B39" s="11" t="s">
        <v>22</v>
      </c>
      <c r="C39" s="2">
        <v>45693</v>
      </c>
      <c r="D39" s="1" t="s">
        <v>78</v>
      </c>
      <c r="E39" s="1" t="s">
        <v>79</v>
      </c>
      <c r="F39" s="6">
        <v>0</v>
      </c>
      <c r="G39" s="6">
        <v>122500</v>
      </c>
    </row>
    <row r="40" spans="1:7" x14ac:dyDescent="0.4">
      <c r="A40" s="55"/>
      <c r="B40" s="11" t="s">
        <v>23</v>
      </c>
      <c r="C40" s="2">
        <v>45693</v>
      </c>
      <c r="D40" s="1" t="s">
        <v>80</v>
      </c>
      <c r="E40" s="1" t="s">
        <v>71</v>
      </c>
      <c r="F40" s="6">
        <v>0</v>
      </c>
      <c r="G40" s="6">
        <v>49480</v>
      </c>
    </row>
    <row r="41" spans="1:7" x14ac:dyDescent="0.4">
      <c r="A41" s="55"/>
      <c r="B41" s="37" t="s">
        <v>34</v>
      </c>
      <c r="C41" s="33">
        <v>45693</v>
      </c>
      <c r="D41" s="34" t="s">
        <v>81</v>
      </c>
      <c r="E41" s="34" t="s">
        <v>82</v>
      </c>
      <c r="F41" s="44">
        <v>0</v>
      </c>
      <c r="G41" s="44">
        <v>108200</v>
      </c>
    </row>
    <row r="42" spans="1:7" x14ac:dyDescent="0.4">
      <c r="A42" s="55"/>
      <c r="B42" s="7"/>
      <c r="C42" s="8"/>
      <c r="D42" s="9"/>
      <c r="E42" s="9" t="s">
        <v>37</v>
      </c>
      <c r="F42" s="10">
        <f>SUM(F21:F41)</f>
        <v>5000000</v>
      </c>
      <c r="G42" s="10">
        <f>SUM(G21:G41)</f>
        <v>4964580</v>
      </c>
    </row>
    <row r="43" spans="1:7" x14ac:dyDescent="0.4">
      <c r="A43" s="23"/>
      <c r="B43" s="23"/>
      <c r="C43" s="23"/>
      <c r="D43" s="23"/>
      <c r="E43" s="23" t="s">
        <v>36</v>
      </c>
      <c r="F43" s="24">
        <f>SUM(F20,F42)</f>
        <v>16240000</v>
      </c>
      <c r="G43" s="24">
        <f>SUM(G20,G42)</f>
        <v>16204580</v>
      </c>
    </row>
  </sheetData>
  <mergeCells count="3">
    <mergeCell ref="B3:B18"/>
    <mergeCell ref="A2:A20"/>
    <mergeCell ref="A21:A4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1000344P03</dc:creator>
  <dc:description>7.0.6</dc:description>
  <cp:lastModifiedBy>남민지</cp:lastModifiedBy>
  <dcterms:created xsi:type="dcterms:W3CDTF">2026-02-19T14:52:14Z</dcterms:created>
  <dcterms:modified xsi:type="dcterms:W3CDTF">2026-02-19T06:39:06Z</dcterms:modified>
</cp:coreProperties>
</file>
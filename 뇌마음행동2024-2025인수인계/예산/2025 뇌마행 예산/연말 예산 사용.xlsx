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_new" sheetId="1" r:id="rId5"/>
    <sheet state="visible" name="시트1" sheetId="2" r:id="rId6"/>
  </sheets>
  <definedNames/>
  <calcPr/>
</workbook>
</file>

<file path=xl/sharedStrings.xml><?xml version="1.0" encoding="utf-8"?>
<sst xmlns="http://schemas.openxmlformats.org/spreadsheetml/2006/main" count="67" uniqueCount="24">
  <si>
    <t>법인회계 잔액(260112 기준)</t>
  </si>
  <si>
    <t>기계비품비로 전용 후</t>
  </si>
  <si>
    <t>기타운영비</t>
  </si>
  <si>
    <t>소모품비</t>
  </si>
  <si>
    <t>기계비품비</t>
  </si>
  <si>
    <t>총</t>
  </si>
  <si>
    <t>일반운영비(회의비)</t>
  </si>
  <si>
    <t>전용불가</t>
  </si>
  <si>
    <t>구입 예정</t>
  </si>
  <si>
    <t>지출 과목</t>
  </si>
  <si>
    <t>카메라</t>
  </si>
  <si>
    <t>삼각대</t>
  </si>
  <si>
    <t>리모콘</t>
  </si>
  <si>
    <t>사무용품</t>
  </si>
  <si>
    <t>도서</t>
  </si>
  <si>
    <t>운영지원금 잔액(260112 기준)</t>
  </si>
  <si>
    <t>회의비</t>
  </si>
  <si>
    <t>행사비</t>
  </si>
  <si>
    <t>교육지원비</t>
  </si>
  <si>
    <t>전자칠판</t>
  </si>
  <si>
    <t>마이크</t>
  </si>
  <si>
    <t>전용 후</t>
  </si>
  <si>
    <t>물품 구입 후</t>
  </si>
  <si>
    <t>기계비품비로 전용 신청 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</si>
</sst>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_-;\-* #,##0_-;_-* &quot;-&quot;_-;_-@"/>
    <numFmt numFmtId="165" formatCode="[$₩-412]#,##0"/>
    <numFmt numFmtId="166" formatCode="0_ ;[Red]\-0\ "/>
  </numFmts>
  <fonts count="9">
    <font>
      <sz val="10.0"/>
      <color rgb="FF000000"/>
      <name val="Arial"/>
      <scheme val="minor"/>
    </font>
    <font>
      <sz val="10.0"/>
      <color theme="1"/>
      <name val="Arial"/>
      <scheme val="minor"/>
    </font>
    <font>
      <b/>
      <sz val="15.0"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</font>
    <font/>
    <font>
      <i/>
      <sz val="10.0"/>
      <color theme="1"/>
      <name val="Arial"/>
      <scheme val="minor"/>
    </font>
    <font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2" fontId="1" numFmtId="164" xfId="0" applyAlignment="1" applyBorder="1" applyFill="1" applyFont="1" applyNumberFormat="1">
      <alignment horizontal="center" shrinkToFit="1" vertical="center" wrapText="0"/>
    </xf>
    <xf borderId="1" fillId="0" fontId="1" numFmtId="165" xfId="0" applyAlignment="1" applyBorder="1" applyFont="1" applyNumberFormat="1">
      <alignment readingOrder="0" vertical="center"/>
    </xf>
    <xf borderId="2" fillId="0" fontId="1" numFmtId="165" xfId="0" applyAlignment="1" applyBorder="1" applyFont="1" applyNumberFormat="1">
      <alignment readingOrder="0" vertical="center"/>
    </xf>
    <xf borderId="3" fillId="0" fontId="3" numFmtId="165" xfId="0" applyAlignment="1" applyBorder="1" applyFont="1" applyNumberFormat="1">
      <alignment readingOrder="0"/>
    </xf>
    <xf borderId="1" fillId="0" fontId="1" numFmtId="165" xfId="0" applyAlignment="1" applyBorder="1" applyFont="1" applyNumberFormat="1">
      <alignment readingOrder="0"/>
    </xf>
    <xf borderId="2" fillId="0" fontId="1" numFmtId="165" xfId="0" applyAlignment="1" applyBorder="1" applyFont="1" applyNumberFormat="1">
      <alignment readingOrder="0"/>
    </xf>
    <xf borderId="3" fillId="0" fontId="3" numFmtId="0" xfId="0" applyBorder="1" applyFont="1"/>
    <xf borderId="1" fillId="2" fontId="1" numFmtId="164" xfId="0" applyAlignment="1" applyBorder="1" applyFont="1" applyNumberFormat="1">
      <alignment horizontal="center" readingOrder="0" shrinkToFit="1" vertical="center" wrapText="0"/>
    </xf>
    <xf borderId="2" fillId="0" fontId="1" numFmtId="165" xfId="0" applyAlignment="1" applyBorder="1" applyFont="1" applyNumberFormat="1">
      <alignment horizontal="right"/>
    </xf>
    <xf borderId="3" fillId="0" fontId="3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165" xfId="0" applyBorder="1" applyFont="1" applyNumberFormat="1"/>
    <xf borderId="2" fillId="0" fontId="1" numFmtId="165" xfId="0" applyBorder="1" applyFont="1" applyNumberFormat="1"/>
    <xf borderId="3" fillId="0" fontId="1" numFmtId="165" xfId="0" applyBorder="1" applyFont="1" applyNumberFormat="1"/>
    <xf borderId="0" fillId="0" fontId="1" numFmtId="0" xfId="0" applyAlignment="1" applyFont="1">
      <alignment readingOrder="0"/>
    </xf>
    <xf borderId="0" fillId="0" fontId="1" numFmtId="165" xfId="0" applyFont="1" applyNumberFormat="1"/>
    <xf borderId="1" fillId="0" fontId="1" numFmtId="164" xfId="0" applyAlignment="1" applyBorder="1" applyFont="1" applyNumberFormat="1">
      <alignment horizontal="center" shrinkToFit="1" vertical="center" wrapText="0"/>
    </xf>
    <xf borderId="1" fillId="0" fontId="1" numFmtId="0" xfId="0" applyAlignment="1" applyBorder="1" applyFont="1">
      <alignment horizontal="left" readingOrder="0"/>
    </xf>
    <xf borderId="4" fillId="0" fontId="4" numFmtId="0" xfId="0" applyAlignment="1" applyBorder="1" applyFont="1">
      <alignment readingOrder="0"/>
    </xf>
    <xf borderId="5" fillId="0" fontId="1" numFmtId="165" xfId="0" applyBorder="1" applyFont="1" applyNumberFormat="1"/>
    <xf borderId="6" fillId="0" fontId="3" numFmtId="0" xfId="0" applyAlignment="1" applyBorder="1" applyFont="1">
      <alignment readingOrder="0"/>
    </xf>
    <xf borderId="7" fillId="0" fontId="3" numFmtId="0" xfId="0" applyBorder="1" applyFont="1"/>
    <xf borderId="8" fillId="0" fontId="1" numFmtId="164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right"/>
    </xf>
    <xf borderId="1" fillId="0" fontId="5" numFmtId="164" xfId="0" applyAlignment="1" applyBorder="1" applyFont="1" applyNumberFormat="1">
      <alignment readingOrder="0"/>
    </xf>
    <xf borderId="9" fillId="0" fontId="3" numFmtId="0" xfId="0" applyBorder="1" applyFont="1"/>
    <xf borderId="1" fillId="0" fontId="1" numFmtId="165" xfId="0" applyAlignment="1" applyBorder="1" applyFont="1" applyNumberFormat="1">
      <alignment horizontal="right" readingOrder="0"/>
    </xf>
    <xf borderId="10" fillId="0" fontId="5" numFmtId="164" xfId="0" applyAlignment="1" applyBorder="1" applyFont="1" applyNumberFormat="1">
      <alignment readingOrder="0" vertical="center"/>
    </xf>
    <xf borderId="11" fillId="0" fontId="3" numFmtId="165" xfId="0" applyAlignment="1" applyBorder="1" applyFont="1" applyNumberFormat="1">
      <alignment vertical="center"/>
    </xf>
    <xf borderId="12" fillId="0" fontId="6" numFmtId="0" xfId="0" applyBorder="1" applyFont="1"/>
    <xf borderId="13" fillId="0" fontId="6" numFmtId="0" xfId="0" applyBorder="1" applyFont="1"/>
    <xf borderId="8" fillId="0" fontId="1" numFmtId="164" xfId="0" applyAlignment="1" applyBorder="1" applyFont="1" applyNumberFormat="1">
      <alignment horizontal="center" readingOrder="0"/>
    </xf>
    <xf borderId="14" fillId="0" fontId="6" numFmtId="0" xfId="0" applyBorder="1" applyFont="1"/>
    <xf borderId="15" fillId="0" fontId="6" numFmtId="0" xfId="0" applyBorder="1" applyFont="1"/>
    <xf borderId="8" fillId="0" fontId="3" numFmtId="0" xfId="0" applyAlignment="1" applyBorder="1" applyFont="1">
      <alignment horizontal="center" readingOrder="0"/>
    </xf>
    <xf borderId="1" fillId="0" fontId="3" numFmtId="165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16" fillId="0" fontId="1" numFmtId="164" xfId="0" applyAlignment="1" applyBorder="1" applyFont="1" applyNumberFormat="1">
      <alignment horizontal="right" readingOrder="0"/>
    </xf>
    <xf borderId="17" fillId="0" fontId="1" numFmtId="165" xfId="0" applyAlignment="1" applyBorder="1" applyFont="1" applyNumberFormat="1">
      <alignment horizontal="right"/>
    </xf>
    <xf borderId="18" fillId="0" fontId="3" numFmtId="0" xfId="0" applyBorder="1" applyFont="1"/>
    <xf borderId="19" fillId="0" fontId="3" numFmtId="0" xfId="0" applyBorder="1" applyFont="1"/>
    <xf borderId="0" fillId="0" fontId="1" numFmtId="0" xfId="0" applyAlignment="1" applyFont="1">
      <alignment horizontal="center" readingOrder="0"/>
    </xf>
    <xf borderId="0" fillId="0" fontId="1" numFmtId="165" xfId="0" applyAlignment="1" applyFont="1" applyNumberFormat="1">
      <alignment readingOrder="0"/>
    </xf>
    <xf borderId="1" fillId="3" fontId="1" numFmtId="0" xfId="0" applyAlignment="1" applyBorder="1" applyFill="1" applyFont="1">
      <alignment horizontal="center" readingOrder="0"/>
    </xf>
    <xf borderId="10" fillId="0" fontId="3" numFmtId="165" xfId="0" applyBorder="1" applyFont="1" applyNumberFormat="1"/>
    <xf borderId="1" fillId="0" fontId="7" numFmtId="165" xfId="0" applyAlignment="1" applyBorder="1" applyFont="1" applyNumberFormat="1">
      <alignment readingOrder="0"/>
    </xf>
    <xf borderId="1" fillId="0" fontId="1" numFmtId="165" xfId="0" applyAlignment="1" applyBorder="1" applyFont="1" applyNumberFormat="1">
      <alignment horizontal="center" readingOrder="0"/>
    </xf>
    <xf borderId="1" fillId="0" fontId="3" numFmtId="165" xfId="0" applyBorder="1" applyFont="1" applyNumberFormat="1"/>
    <xf borderId="0" fillId="0" fontId="3" numFmtId="0" xfId="0" applyAlignment="1" applyFont="1">
      <alignment horizontal="right" readingOrder="0"/>
    </xf>
    <xf borderId="0" fillId="0" fontId="3" numFmtId="165" xfId="0" applyFont="1" applyNumberFormat="1"/>
    <xf borderId="7" fillId="0" fontId="1" numFmtId="165" xfId="0" applyBorder="1" applyFont="1" applyNumberFormat="1"/>
    <xf borderId="8" fillId="0" fontId="1" numFmtId="166" xfId="0" applyAlignment="1" applyBorder="1" applyFont="1" applyNumberFormat="1">
      <alignment horizontal="center"/>
    </xf>
    <xf borderId="20" fillId="0" fontId="1" numFmtId="165" xfId="0" applyAlignment="1" applyBorder="1" applyFont="1" applyNumberFormat="1">
      <alignment horizontal="right"/>
    </xf>
    <xf borderId="9" fillId="0" fontId="3" numFmtId="165" xfId="0" applyBorder="1" applyFont="1" applyNumberFormat="1"/>
    <xf borderId="16" fillId="0" fontId="1" numFmtId="166" xfId="0" applyAlignment="1" applyBorder="1" applyFont="1" applyNumberFormat="1">
      <alignment horizontal="right" readingOrder="0"/>
    </xf>
    <xf borderId="21" fillId="0" fontId="1" numFmtId="165" xfId="0" applyAlignment="1" applyBorder="1" applyFont="1" applyNumberFormat="1">
      <alignment horizontal="right"/>
    </xf>
    <xf borderId="0" fillId="0" fontId="1" numFmtId="164" xfId="0" applyAlignment="1" applyFont="1" applyNumberFormat="1">
      <alignment horizontal="center" shrinkToFit="1" vertical="center" wrapText="0"/>
    </xf>
    <xf borderId="0" fillId="0" fontId="1" numFmtId="0" xfId="0" applyAlignment="1" applyFont="1">
      <alignment horizontal="left" readingOrder="0"/>
    </xf>
    <xf borderId="22" fillId="0" fontId="1" numFmtId="0" xfId="0" applyAlignment="1" applyBorder="1" applyFont="1">
      <alignment readingOrder="0"/>
    </xf>
    <xf borderId="22" fillId="0" fontId="1" numFmtId="165" xfId="0" applyBorder="1" applyFont="1" applyNumberFormat="1"/>
    <xf borderId="1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right" readingOrder="0"/>
    </xf>
    <xf borderId="0" fillId="0" fontId="8" numFmtId="164" xfId="0" applyAlignment="1" applyFont="1" applyNumberFormat="1">
      <alignment horizontal="center"/>
    </xf>
    <xf borderId="1" fillId="0" fontId="3" numFmtId="0" xfId="0" applyBorder="1" applyFont="1"/>
    <xf borderId="1" fillId="0" fontId="1" numFmtId="166" xfId="0" applyAlignment="1" applyBorder="1" applyFont="1" applyNumberFormat="1">
      <alignment horizontal="center"/>
    </xf>
    <xf borderId="1" fillId="0" fontId="1" numFmtId="166" xfId="0" applyAlignment="1" applyBorder="1" applyFont="1" applyNumberFormat="1">
      <alignment horizontal="right"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4" max="4" width="14.88"/>
    <col customWidth="1" min="9" max="9" width="14.88"/>
  </cols>
  <sheetData>
    <row r="1">
      <c r="A1" s="1"/>
      <c r="B1" s="1"/>
      <c r="C1" s="1"/>
    </row>
    <row r="2">
      <c r="A2" s="1"/>
      <c r="B2" s="2" t="s">
        <v>0</v>
      </c>
      <c r="C2" s="1"/>
    </row>
    <row r="3">
      <c r="A3" s="1"/>
      <c r="B3" s="2"/>
      <c r="C3" s="1"/>
      <c r="D3" s="3" t="s">
        <v>1</v>
      </c>
    </row>
    <row r="4">
      <c r="A4" s="1"/>
      <c r="B4" s="4" t="s">
        <v>2</v>
      </c>
      <c r="C4" s="5">
        <v>2500000.0</v>
      </c>
      <c r="D4" s="6">
        <f>C4-2425000</f>
        <v>75000</v>
      </c>
      <c r="E4" s="7"/>
    </row>
    <row r="5">
      <c r="A5" s="1"/>
      <c r="B5" s="4" t="s">
        <v>3</v>
      </c>
      <c r="C5" s="8">
        <v>200130.0</v>
      </c>
      <c r="D5" s="9">
        <f>C5-39000</f>
        <v>161130</v>
      </c>
      <c r="E5" s="10"/>
    </row>
    <row r="6">
      <c r="A6" s="1"/>
      <c r="B6" s="11" t="s">
        <v>4</v>
      </c>
      <c r="C6" s="8">
        <v>0.0</v>
      </c>
      <c r="D6" s="12">
        <v>2464000.0</v>
      </c>
      <c r="E6" s="13"/>
    </row>
    <row r="7">
      <c r="A7" s="1"/>
      <c r="B7" s="14" t="s">
        <v>5</v>
      </c>
      <c r="C7" s="15">
        <f t="shared" ref="C7:D7" si="1">SUM(C4:C6)</f>
        <v>2700130</v>
      </c>
      <c r="D7" s="16">
        <f t="shared" si="1"/>
        <v>2700130</v>
      </c>
      <c r="E7" s="17"/>
    </row>
    <row r="8">
      <c r="A8" s="1"/>
      <c r="B8" s="18"/>
      <c r="C8" s="19"/>
    </row>
    <row r="9">
      <c r="B9" s="20" t="s">
        <v>6</v>
      </c>
      <c r="C9" s="8">
        <v>180000.0</v>
      </c>
      <c r="D9" s="21" t="s">
        <v>7</v>
      </c>
    </row>
    <row r="10">
      <c r="A10" s="1"/>
      <c r="B10" s="1"/>
      <c r="C10" s="19"/>
    </row>
    <row r="11">
      <c r="A11" s="1"/>
      <c r="B11" s="22" t="s">
        <v>8</v>
      </c>
      <c r="C11" s="23"/>
      <c r="D11" s="24" t="s">
        <v>9</v>
      </c>
      <c r="E11" s="25"/>
    </row>
    <row r="12">
      <c r="A12" s="1"/>
      <c r="B12" s="26" t="s">
        <v>10</v>
      </c>
      <c r="C12" s="27">
        <v>2464000.0</v>
      </c>
      <c r="D12" s="28" t="s">
        <v>4</v>
      </c>
      <c r="E12" s="29"/>
    </row>
    <row r="13">
      <c r="A13" s="1"/>
      <c r="B13" s="26" t="s">
        <v>11</v>
      </c>
      <c r="C13" s="30">
        <v>37000.0</v>
      </c>
      <c r="D13" s="31" t="s">
        <v>3</v>
      </c>
      <c r="E13" s="32">
        <f>C13+C14+C15</f>
        <v>161130</v>
      </c>
    </row>
    <row r="14">
      <c r="A14" s="1"/>
      <c r="B14" s="26" t="s">
        <v>12</v>
      </c>
      <c r="C14" s="30">
        <v>101000.0</v>
      </c>
      <c r="D14" s="33"/>
      <c r="E14" s="34"/>
    </row>
    <row r="15">
      <c r="A15" s="1"/>
      <c r="B15" s="35" t="s">
        <v>13</v>
      </c>
      <c r="C15" s="30">
        <v>23130.0</v>
      </c>
      <c r="D15" s="36"/>
      <c r="E15" s="37"/>
    </row>
    <row r="16">
      <c r="A16" s="1"/>
      <c r="B16" s="38" t="s">
        <v>14</v>
      </c>
      <c r="C16" s="39">
        <v>75000.0</v>
      </c>
      <c r="D16" s="40" t="s">
        <v>2</v>
      </c>
      <c r="E16" s="29"/>
    </row>
    <row r="17">
      <c r="B17" s="41" t="s">
        <v>5</v>
      </c>
      <c r="C17" s="42">
        <f>SUM(C12:C16)</f>
        <v>2700130</v>
      </c>
      <c r="D17" s="43"/>
      <c r="E17" s="44"/>
    </row>
    <row r="20">
      <c r="B20" s="2" t="s">
        <v>15</v>
      </c>
    </row>
    <row r="21">
      <c r="B21" s="45"/>
      <c r="C21" s="46"/>
      <c r="D21" s="3" t="s">
        <v>1</v>
      </c>
    </row>
    <row r="22">
      <c r="B22" s="47" t="s">
        <v>16</v>
      </c>
      <c r="C22" s="8">
        <v>386560.0</v>
      </c>
      <c r="D22" s="48">
        <f>C26-D25</f>
        <v>0</v>
      </c>
    </row>
    <row r="23">
      <c r="B23" s="47" t="s">
        <v>17</v>
      </c>
      <c r="C23" s="8">
        <v>462040.0</v>
      </c>
      <c r="D23" s="33"/>
    </row>
    <row r="24">
      <c r="B24" s="47" t="s">
        <v>18</v>
      </c>
      <c r="C24" s="49">
        <v>3958400.0</v>
      </c>
      <c r="D24" s="36"/>
    </row>
    <row r="25">
      <c r="B25" s="50" t="s">
        <v>4</v>
      </c>
      <c r="C25" s="40">
        <v>0.0</v>
      </c>
      <c r="D25" s="51">
        <f>C31</f>
        <v>4807000</v>
      </c>
    </row>
    <row r="26">
      <c r="B26" s="52" t="s">
        <v>5</v>
      </c>
      <c r="C26" s="19">
        <f t="shared" ref="C26:D26" si="2">SUM(C22:C25)</f>
        <v>4807000</v>
      </c>
      <c r="D26" s="53">
        <f t="shared" si="2"/>
        <v>4807000</v>
      </c>
    </row>
    <row r="27">
      <c r="B27" s="3"/>
      <c r="C27" s="19"/>
    </row>
    <row r="28">
      <c r="B28" s="22" t="s">
        <v>8</v>
      </c>
      <c r="C28" s="54"/>
    </row>
    <row r="29">
      <c r="B29" s="55" t="s">
        <v>19</v>
      </c>
      <c r="C29" s="56">
        <v>4150000.0</v>
      </c>
    </row>
    <row r="30">
      <c r="B30" s="55" t="s">
        <v>20</v>
      </c>
      <c r="C30" s="57">
        <f>C26-C29</f>
        <v>657000</v>
      </c>
    </row>
    <row r="31">
      <c r="B31" s="58" t="s">
        <v>5</v>
      </c>
      <c r="C31" s="59">
        <f>SUM(C29:C30)</f>
        <v>4807000</v>
      </c>
    </row>
  </sheetData>
  <mergeCells count="3">
    <mergeCell ref="D13:D15"/>
    <mergeCell ref="E13:E15"/>
    <mergeCell ref="D22:D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</cols>
  <sheetData>
    <row r="1">
      <c r="A1" s="1"/>
      <c r="B1" s="1"/>
      <c r="C1" s="1"/>
    </row>
    <row r="2">
      <c r="A2" s="1"/>
      <c r="B2" s="2" t="s">
        <v>0</v>
      </c>
      <c r="C2" s="1"/>
    </row>
    <row r="3">
      <c r="A3" s="1"/>
      <c r="B3" s="2"/>
      <c r="C3" s="1"/>
      <c r="D3" s="3" t="s">
        <v>21</v>
      </c>
      <c r="E3" s="3" t="s">
        <v>22</v>
      </c>
      <c r="G3" s="2"/>
      <c r="H3" s="1"/>
      <c r="I3" s="3" t="s">
        <v>21</v>
      </c>
      <c r="J3" s="3" t="s">
        <v>22</v>
      </c>
    </row>
    <row r="4">
      <c r="A4" s="1"/>
      <c r="B4" s="4" t="s">
        <v>2</v>
      </c>
      <c r="C4" s="5">
        <v>2500000.0</v>
      </c>
      <c r="D4" s="5">
        <f>C4-D6</f>
        <v>36000</v>
      </c>
      <c r="E4" s="39">
        <v>36000.0</v>
      </c>
      <c r="G4" s="4" t="s">
        <v>2</v>
      </c>
      <c r="H4" s="5">
        <v>2500000.0</v>
      </c>
      <c r="I4" s="5">
        <f>H4-2425000</f>
        <v>75000</v>
      </c>
      <c r="J4" s="39">
        <f>I4-C16</f>
        <v>0</v>
      </c>
    </row>
    <row r="5">
      <c r="A5" s="1"/>
      <c r="B5" s="4" t="s">
        <v>3</v>
      </c>
      <c r="C5" s="8">
        <v>200130.0</v>
      </c>
      <c r="D5" s="8">
        <v>200130.0</v>
      </c>
      <c r="E5" s="51">
        <f>D5-C13-C14</f>
        <v>58130</v>
      </c>
      <c r="G5" s="4" t="s">
        <v>3</v>
      </c>
      <c r="H5" s="8">
        <v>200130.0</v>
      </c>
      <c r="I5" s="8">
        <f>H5-39000</f>
        <v>161130</v>
      </c>
      <c r="J5" s="51">
        <f>I5-E14</f>
        <v>19130</v>
      </c>
    </row>
    <row r="6">
      <c r="A6" s="1"/>
      <c r="B6" s="11" t="s">
        <v>4</v>
      </c>
      <c r="C6" s="8">
        <v>0.0</v>
      </c>
      <c r="D6" s="27">
        <v>2464000.0</v>
      </c>
      <c r="E6" s="40">
        <v>0.0</v>
      </c>
      <c r="G6" s="11" t="s">
        <v>4</v>
      </c>
      <c r="H6" s="8">
        <v>0.0</v>
      </c>
      <c r="I6" s="27">
        <v>2464000.0</v>
      </c>
      <c r="J6" s="40">
        <v>0.0</v>
      </c>
    </row>
    <row r="7">
      <c r="A7" s="1"/>
      <c r="B7" s="14" t="s">
        <v>5</v>
      </c>
      <c r="C7" s="15">
        <f>SUM(C4:C5)</f>
        <v>2700130</v>
      </c>
      <c r="D7" s="15">
        <f t="shared" ref="D7:E7" si="1">SUM(D4:D6)</f>
        <v>2700130</v>
      </c>
      <c r="E7" s="15">
        <f t="shared" si="1"/>
        <v>94130</v>
      </c>
      <c r="G7" s="14" t="s">
        <v>5</v>
      </c>
      <c r="H7" s="15">
        <f t="shared" ref="H7:J7" si="2">SUM(H4:H6)</f>
        <v>2700130</v>
      </c>
      <c r="I7" s="15">
        <f t="shared" si="2"/>
        <v>2700130</v>
      </c>
      <c r="J7" s="15">
        <f t="shared" si="2"/>
        <v>19130</v>
      </c>
    </row>
    <row r="8">
      <c r="A8" s="1"/>
      <c r="B8" s="18"/>
      <c r="C8" s="19"/>
    </row>
    <row r="9">
      <c r="B9" s="60" t="s">
        <v>6</v>
      </c>
      <c r="C9" s="46">
        <v>180000.0</v>
      </c>
      <c r="D9" s="61" t="s">
        <v>7</v>
      </c>
    </row>
    <row r="10">
      <c r="A10" s="1"/>
      <c r="B10" s="1"/>
      <c r="C10" s="19"/>
    </row>
    <row r="11">
      <c r="A11" s="1"/>
      <c r="B11" s="62" t="s">
        <v>8</v>
      </c>
      <c r="C11" s="63"/>
      <c r="D11" s="3" t="s">
        <v>9</v>
      </c>
    </row>
    <row r="12">
      <c r="A12" s="1"/>
      <c r="B12" s="64" t="s">
        <v>10</v>
      </c>
      <c r="C12" s="27">
        <v>2464000.0</v>
      </c>
      <c r="D12" s="28" t="s">
        <v>4</v>
      </c>
    </row>
    <row r="13">
      <c r="A13" s="1"/>
      <c r="B13" s="64" t="s">
        <v>11</v>
      </c>
      <c r="C13" s="30">
        <v>37000.0</v>
      </c>
      <c r="D13" s="28" t="s">
        <v>3</v>
      </c>
    </row>
    <row r="14">
      <c r="A14" s="1"/>
      <c r="B14" s="64" t="s">
        <v>12</v>
      </c>
      <c r="C14" s="27">
        <v>105000.0</v>
      </c>
      <c r="D14" s="28" t="s">
        <v>3</v>
      </c>
      <c r="E14" s="53">
        <f>C13+C14</f>
        <v>142000</v>
      </c>
    </row>
    <row r="15">
      <c r="A15" s="1"/>
      <c r="B15" s="65" t="s">
        <v>5</v>
      </c>
      <c r="C15" s="27">
        <f>SUM(C12:C14)</f>
        <v>2606000</v>
      </c>
      <c r="D15" s="66"/>
    </row>
    <row r="16">
      <c r="B16" s="3" t="s">
        <v>14</v>
      </c>
      <c r="C16" s="3">
        <v>75000.0</v>
      </c>
      <c r="D16" s="3" t="s">
        <v>2</v>
      </c>
    </row>
    <row r="19">
      <c r="B19" s="2" t="s">
        <v>15</v>
      </c>
    </row>
    <row r="20">
      <c r="B20" s="45"/>
      <c r="C20" s="46"/>
      <c r="D20" s="3" t="s">
        <v>23</v>
      </c>
    </row>
    <row r="21">
      <c r="B21" s="47" t="s">
        <v>16</v>
      </c>
      <c r="C21" s="8">
        <v>363700.0</v>
      </c>
      <c r="D21" s="53">
        <f>C21-(C30-C22-C23)</f>
        <v>29140</v>
      </c>
    </row>
    <row r="22">
      <c r="B22" s="47" t="s">
        <v>17</v>
      </c>
      <c r="C22" s="8">
        <v>462040.0</v>
      </c>
      <c r="D22" s="3">
        <v>0.0</v>
      </c>
    </row>
    <row r="23">
      <c r="B23" s="47" t="s">
        <v>18</v>
      </c>
      <c r="C23" s="8">
        <v>4010400.0</v>
      </c>
      <c r="D23" s="3">
        <v>0.0</v>
      </c>
    </row>
    <row r="24">
      <c r="B24" s="50" t="s">
        <v>4</v>
      </c>
      <c r="C24" s="67"/>
      <c r="D24" s="53">
        <v>4807000.0</v>
      </c>
    </row>
    <row r="25">
      <c r="B25" s="52" t="s">
        <v>5</v>
      </c>
      <c r="C25" s="19">
        <f>SUM(C21:C23)</f>
        <v>4836140</v>
      </c>
      <c r="D25" s="53">
        <f>SUM(D21:D24)</f>
        <v>4836140</v>
      </c>
    </row>
    <row r="26">
      <c r="B26" s="3"/>
      <c r="C26" s="19">
        <f>4784140-C25</f>
        <v>-52000</v>
      </c>
    </row>
    <row r="27">
      <c r="B27" s="62" t="s">
        <v>8</v>
      </c>
      <c r="C27" s="19"/>
    </row>
    <row r="28">
      <c r="B28" s="68" t="s">
        <v>19</v>
      </c>
      <c r="C28" s="27">
        <v>4150000.0</v>
      </c>
    </row>
    <row r="29">
      <c r="B29" s="68" t="s">
        <v>20</v>
      </c>
      <c r="C29" s="27">
        <v>657000.0</v>
      </c>
    </row>
    <row r="30">
      <c r="B30" s="69" t="s">
        <v>5</v>
      </c>
      <c r="C30" s="27">
        <f>SUM(C28:C29)</f>
        <v>4807000</v>
      </c>
    </row>
    <row r="36">
      <c r="F36" s="70">
        <f>5537960+4807000+369600+836300+600000</f>
        <v>12150860</v>
      </c>
    </row>
    <row r="37">
      <c r="F37" s="70">
        <f>F36+29140</f>
        <v>12180000</v>
      </c>
    </row>
  </sheetData>
  <drawing r:id="rId1"/>
</worksheet>
</file>
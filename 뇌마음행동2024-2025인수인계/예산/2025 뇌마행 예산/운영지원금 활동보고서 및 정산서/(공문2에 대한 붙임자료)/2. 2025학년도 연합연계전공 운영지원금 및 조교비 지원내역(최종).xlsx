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교무 (연합연계전공)\00. 계획안\대학안내\☆3차 안내(2025.12.17)\"/>
    </mc:Choice>
  </mc:AlternateContent>
  <xr:revisionPtr revIDLastSave="0" documentId="13_ncr:1_{60440E2C-A120-4E68-BC8C-E235398A82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운영지원금 산출내역" sheetId="5" r:id="rId1"/>
    <sheet name="조교인건비 내역" sheetId="6" r:id="rId2"/>
    <sheet name="대학별_재배정예산(종합)" sheetId="3" r:id="rId3"/>
    <sheet name="대학별 전공수" sheetId="7" r:id="rId4"/>
  </sheets>
  <definedNames>
    <definedName name="_xlnm._FilterDatabase" localSheetId="0" hidden="1">'운영지원금 산출내역'!$A$5:$T$31</definedName>
    <definedName name="_xlnm.Print_Area" localSheetId="0">'운영지원금 산출내역'!$A$2:$P$32</definedName>
    <definedName name="_xlnm.Print_Area" localSheetId="1">'조교인건비 내역'!$B$4:$K$46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3" l="1"/>
  <c r="N16" i="3"/>
  <c r="L22" i="3"/>
  <c r="L28" i="3"/>
  <c r="L27" i="3"/>
  <c r="L26" i="3"/>
  <c r="L25" i="3"/>
  <c r="L24" i="3"/>
  <c r="L23" i="3"/>
  <c r="L29" i="3"/>
  <c r="L9" i="3"/>
  <c r="N37" i="6"/>
  <c r="N23" i="6"/>
  <c r="N44" i="6"/>
  <c r="N43" i="6"/>
  <c r="N42" i="6"/>
  <c r="N41" i="6"/>
  <c r="O41" i="6" s="1"/>
  <c r="N40" i="6"/>
  <c r="N39" i="6"/>
  <c r="N38" i="6"/>
  <c r="N36" i="6"/>
  <c r="N35" i="6"/>
  <c r="N34" i="6"/>
  <c r="N33" i="6"/>
  <c r="N32" i="6"/>
  <c r="N31" i="6"/>
  <c r="N30" i="6"/>
  <c r="N29" i="6"/>
  <c r="N28" i="6"/>
  <c r="N27" i="6"/>
  <c r="N26" i="6"/>
  <c r="N25" i="6"/>
  <c r="N22" i="6"/>
  <c r="N21" i="6"/>
  <c r="N20" i="6"/>
  <c r="N19" i="6"/>
  <c r="N18" i="6"/>
  <c r="N17" i="6"/>
  <c r="N14" i="6"/>
  <c r="N12" i="6"/>
  <c r="N11" i="6"/>
  <c r="N10" i="6"/>
  <c r="N7" i="6"/>
  <c r="N6" i="6"/>
  <c r="O22" i="6" l="1"/>
  <c r="O29" i="6"/>
  <c r="O26" i="6"/>
  <c r="O42" i="6"/>
  <c r="O6" i="6"/>
  <c r="O14" i="6"/>
  <c r="O45" i="6" l="1"/>
  <c r="O31" i="5"/>
  <c r="F31" i="5"/>
  <c r="O30" i="5"/>
  <c r="M30" i="5"/>
  <c r="L30" i="5"/>
  <c r="G30" i="5"/>
  <c r="G31" i="5" s="1"/>
  <c r="F30" i="5"/>
  <c r="K29" i="5"/>
  <c r="J29" i="5"/>
  <c r="N29" i="5" s="1"/>
  <c r="K28" i="5"/>
  <c r="J28" i="5"/>
  <c r="N28" i="5" s="1"/>
  <c r="K27" i="5"/>
  <c r="J27" i="5"/>
  <c r="N27" i="5" s="1"/>
  <c r="K26" i="5"/>
  <c r="J26" i="5"/>
  <c r="N26" i="5" s="1"/>
  <c r="N25" i="5"/>
  <c r="K25" i="5"/>
  <c r="J25" i="5"/>
  <c r="K24" i="5"/>
  <c r="J24" i="5"/>
  <c r="N24" i="5" s="1"/>
  <c r="K23" i="5"/>
  <c r="J23" i="5"/>
  <c r="N23" i="5" s="1"/>
  <c r="K22" i="5"/>
  <c r="J22" i="5"/>
  <c r="N22" i="5" s="1"/>
  <c r="K21" i="5"/>
  <c r="J21" i="5"/>
  <c r="N21" i="5" s="1"/>
  <c r="K20" i="5"/>
  <c r="J20" i="5"/>
  <c r="N20" i="5" s="1"/>
  <c r="K19" i="5"/>
  <c r="J19" i="5"/>
  <c r="N19" i="5" s="1"/>
  <c r="K18" i="5"/>
  <c r="K30" i="5" s="1"/>
  <c r="J18" i="5"/>
  <c r="J30" i="5" s="1"/>
  <c r="O17" i="5"/>
  <c r="M17" i="5"/>
  <c r="M31" i="5" s="1"/>
  <c r="L17" i="5"/>
  <c r="L31" i="5" s="1"/>
  <c r="K17" i="5"/>
  <c r="K31" i="5" s="1"/>
  <c r="G17" i="5"/>
  <c r="F17" i="5"/>
  <c r="K16" i="5"/>
  <c r="J16" i="5"/>
  <c r="N16" i="5" s="1"/>
  <c r="K15" i="5"/>
  <c r="J15" i="5"/>
  <c r="N15" i="5" s="1"/>
  <c r="K14" i="5"/>
  <c r="J14" i="5"/>
  <c r="N14" i="5" s="1"/>
  <c r="K13" i="5"/>
  <c r="J13" i="5"/>
  <c r="N13" i="5" s="1"/>
  <c r="K12" i="5"/>
  <c r="J12" i="5"/>
  <c r="N12" i="5" s="1"/>
  <c r="K11" i="5"/>
  <c r="J11" i="5"/>
  <c r="N11" i="5" s="1"/>
  <c r="K10" i="5"/>
  <c r="J10" i="5"/>
  <c r="N10" i="5" s="1"/>
  <c r="K9" i="5"/>
  <c r="J9" i="5"/>
  <c r="N9" i="5" s="1"/>
  <c r="N8" i="5"/>
  <c r="K8" i="5"/>
  <c r="J8" i="5"/>
  <c r="K7" i="5"/>
  <c r="J7" i="5"/>
  <c r="N7" i="5" s="1"/>
  <c r="K6" i="5"/>
  <c r="J6" i="5"/>
  <c r="J17" i="5" s="1"/>
  <c r="J31" i="5" s="1"/>
  <c r="N18" i="5" l="1"/>
  <c r="N30" i="5" s="1"/>
  <c r="N6" i="5"/>
  <c r="N17" i="5" s="1"/>
  <c r="N31" i="5" s="1"/>
  <c r="L10" i="3" l="1"/>
  <c r="F32" i="3"/>
  <c r="E32" i="3"/>
  <c r="F21" i="3"/>
  <c r="E21" i="3"/>
  <c r="F15" i="3"/>
  <c r="E15" i="3"/>
  <c r="D15" i="3"/>
  <c r="L15" i="3"/>
  <c r="L13" i="3"/>
  <c r="L12" i="3"/>
  <c r="L11" i="3"/>
  <c r="L14" i="3" l="1"/>
  <c r="L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4" authorId="0" shapeId="0" xr:uid="{705A94B3-A7DF-4284-8CBB-743A3F306F01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서울대학교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연합연계전공위원회</t>
        </r>
        <r>
          <rPr>
            <b/>
            <sz val="9"/>
            <color indexed="81"/>
            <rFont val="Tahoma"/>
            <family val="2"/>
          </rPr>
          <t xml:space="preserve"> (5.20(</t>
        </r>
        <r>
          <rPr>
            <b/>
            <sz val="9"/>
            <color indexed="81"/>
            <rFont val="돋움"/>
            <family val="3"/>
            <charset val="129"/>
          </rPr>
          <t>화</t>
        </r>
        <r>
          <rPr>
            <b/>
            <sz val="9"/>
            <color indexed="81"/>
            <rFont val="Tahoma"/>
            <family val="2"/>
          </rPr>
          <t xml:space="preserve">) 13:30)
- </t>
        </r>
        <r>
          <rPr>
            <b/>
            <sz val="9"/>
            <color indexed="81"/>
            <rFont val="돋움"/>
            <family val="3"/>
            <charset val="129"/>
          </rPr>
          <t>재적생수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현행화</t>
        </r>
        <r>
          <rPr>
            <b/>
            <sz val="9"/>
            <color indexed="81"/>
            <rFont val="Tahoma"/>
            <family val="2"/>
          </rPr>
          <t>(3.7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-&gt;5.22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5" authorId="0" shapeId="0" xr:uid="{D238502D-B485-4FDC-AC8C-627544B23FCE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20% </t>
        </r>
        <r>
          <rPr>
            <b/>
            <sz val="9"/>
            <color indexed="81"/>
            <rFont val="돋움"/>
            <family val="3"/>
            <charset val="129"/>
          </rPr>
          <t>상향</t>
        </r>
      </text>
    </comment>
    <comment ref="M5" authorId="0" shapeId="0" xr:uid="{F9DA5F87-C742-490E-8A32-9EA3E10659D3}">
      <text>
        <r>
          <rPr>
            <b/>
            <sz val="9"/>
            <color indexed="81"/>
            <rFont val="돋움"/>
            <family val="3"/>
            <charset val="129"/>
          </rPr>
          <t>연간 지원금 60만원 인상(140-&gt; 200만원)</t>
        </r>
      </text>
    </comment>
    <comment ref="O6" authorId="0" shapeId="0" xr:uid="{FB3945B8-8A38-4572-BABF-64A787F424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대학인문역량강화사업</t>
        </r>
        <r>
          <rPr>
            <sz val="9"/>
            <color indexed="81"/>
            <rFont val="Tahoma"/>
            <family val="2"/>
          </rPr>
          <t>(CORE)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신설된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동아시아비교인문학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정치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경제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철학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고전문헌학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인문데이터과학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24</t>
        </r>
        <r>
          <rPr>
            <sz val="9"/>
            <color indexed="81"/>
            <rFont val="돋움"/>
            <family val="3"/>
            <charset val="129"/>
          </rPr>
          <t>년까지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대학혁신지원사업의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인문대학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받았음</t>
        </r>
      </text>
    </comment>
  </commentList>
</comments>
</file>

<file path=xl/sharedStrings.xml><?xml version="1.0" encoding="utf-8"?>
<sst xmlns="http://schemas.openxmlformats.org/spreadsheetml/2006/main" count="485" uniqueCount="258">
  <si>
    <t>인문대학</t>
  </si>
  <si>
    <t>사회과학대학</t>
  </si>
  <si>
    <t>자연과학대학</t>
  </si>
  <si>
    <t>경영대학</t>
  </si>
  <si>
    <t>공과대학</t>
  </si>
  <si>
    <t>미술대학</t>
  </si>
  <si>
    <t>사범대학</t>
  </si>
  <si>
    <t>생활과학대학</t>
  </si>
  <si>
    <t>비고</t>
    <phoneticPr fontId="2" type="noConversion"/>
  </si>
  <si>
    <t>대학</t>
  </si>
  <si>
    <t>합계</t>
  </si>
  <si>
    <t>1차 재배정(3.27)</t>
    <phoneticPr fontId="2" type="noConversion"/>
  </si>
  <si>
    <t>재배정(9.17)</t>
    <phoneticPr fontId="2" type="noConversion"/>
  </si>
  <si>
    <t>재배정(6.13)</t>
    <phoneticPr fontId="2" type="noConversion"/>
  </si>
  <si>
    <t>2차 재배정(6.11)</t>
    <phoneticPr fontId="2" type="noConversion"/>
  </si>
  <si>
    <t>경영대학</t>
    <phoneticPr fontId="2" type="noConversion"/>
  </si>
  <si>
    <t>재배정 총액</t>
    <phoneticPr fontId="2" type="noConversion"/>
  </si>
  <si>
    <t>2025학년도 연합연계전공 재배정 예산 현황</t>
    <phoneticPr fontId="2" type="noConversion"/>
  </si>
  <si>
    <t>재원</t>
    <phoneticPr fontId="2" type="noConversion"/>
  </si>
  <si>
    <t>연계전공 리테일(26-1신설)</t>
    <phoneticPr fontId="2" type="noConversion"/>
  </si>
  <si>
    <t>연계전공 한국학(26-1신설)</t>
    <phoneticPr fontId="2" type="noConversion"/>
  </si>
  <si>
    <t>법인회계-첨단융합학부 및 학부대학 설립운영</t>
    <phoneticPr fontId="2" type="noConversion"/>
  </si>
  <si>
    <t>대학혁신</t>
    <phoneticPr fontId="2" type="noConversion"/>
  </si>
  <si>
    <t>국고출연</t>
    <phoneticPr fontId="2" type="noConversion"/>
  </si>
  <si>
    <t>1. 연합연계전공 운영지원금 (교육지원비)</t>
    <phoneticPr fontId="2" type="noConversion"/>
  </si>
  <si>
    <t>2. 연합연계전공 초기 신설지원금 (교육지원비)</t>
    <phoneticPr fontId="2" type="noConversion"/>
  </si>
  <si>
    <t>3. 연합연계전공 조교 인건비 (기타학생경비)</t>
    <phoneticPr fontId="2" type="noConversion"/>
  </si>
  <si>
    <t>○ 스누로 &gt; 예산 &gt; 예산현황 &gt; 지출예산현황총괄 [사업명: 첨단융합학부 및 학부대학 설립운영] 조회 후 지출액 확인 (교육지원비 혹은 기타학생경비)</t>
    <phoneticPr fontId="2" type="noConversion"/>
  </si>
  <si>
    <t>○ 스누로 &gt; 예산 &gt; 예산현황 &gt; 지출예산현황총괄 [사업명: 대학혁신지원사업] 조회 후 지출액 확인 (기타학생경비)</t>
    <phoneticPr fontId="2" type="noConversion"/>
  </si>
  <si>
    <t>법인회계-대학혁신지원사업</t>
    <phoneticPr fontId="2" type="noConversion"/>
  </si>
  <si>
    <t>작성일: 2025. 5. 22.</t>
    <phoneticPr fontId="2" type="noConversion"/>
  </si>
  <si>
    <t>구분</t>
    <phoneticPr fontId="2" type="noConversion"/>
  </si>
  <si>
    <t>주관대학</t>
    <phoneticPr fontId="2" type="noConversion"/>
  </si>
  <si>
    <t>주관학과</t>
    <phoneticPr fontId="2" type="noConversion"/>
  </si>
  <si>
    <t>전공명칭</t>
    <phoneticPr fontId="2" type="noConversion"/>
  </si>
  <si>
    <t>시행시기</t>
    <phoneticPr fontId="2" type="noConversion"/>
  </si>
  <si>
    <r>
      <t xml:space="preserve">재적생 수
</t>
    </r>
    <r>
      <rPr>
        <b/>
        <sz val="10"/>
        <color rgb="FFFF0000"/>
        <rFont val="맑은 고딕"/>
        <family val="3"/>
        <charset val="129"/>
        <scheme val="minor"/>
      </rPr>
      <t>(A, 2025.5.22.기준)</t>
    </r>
    <phoneticPr fontId="2" type="noConversion"/>
  </si>
  <si>
    <t>기본운영비
(B)</t>
    <phoneticPr fontId="2" type="noConversion"/>
  </si>
  <si>
    <t>전년도집행률
(C)</t>
    <phoneticPr fontId="2" type="noConversion"/>
  </si>
  <si>
    <t>전년도집행률 조정
(C')</t>
    <phoneticPr fontId="2" type="noConversion"/>
  </si>
  <si>
    <t>기본운영비 조정
(B'=B*C')</t>
    <phoneticPr fontId="2" type="noConversion"/>
  </si>
  <si>
    <t>재적생 기준
(A*36,000)</t>
    <phoneticPr fontId="2" type="noConversion"/>
  </si>
  <si>
    <t>평가 등급별
 지원금</t>
    <phoneticPr fontId="2" type="noConversion"/>
  </si>
  <si>
    <t>신설 지원금</t>
    <phoneticPr fontId="2" type="noConversion"/>
  </si>
  <si>
    <t>계</t>
    <phoneticPr fontId="2" type="noConversion"/>
  </si>
  <si>
    <t>전년도
지원금액</t>
    <phoneticPr fontId="2" type="noConversion"/>
  </si>
  <si>
    <t>연합전공
(11개)</t>
    <phoneticPr fontId="2" type="noConversion"/>
  </si>
  <si>
    <t>인문대학</t>
    <phoneticPr fontId="2" type="noConversion"/>
  </si>
  <si>
    <t>국사학과</t>
    <phoneticPr fontId="2" type="noConversion"/>
  </si>
  <si>
    <t>동아시아비교인문학</t>
    <phoneticPr fontId="2" type="noConversion"/>
  </si>
  <si>
    <t>2016-2학기</t>
  </si>
  <si>
    <t>철학과</t>
  </si>
  <si>
    <t>정치-경제-철학</t>
  </si>
  <si>
    <t>2024-2학기</t>
    <phoneticPr fontId="2" type="noConversion"/>
  </si>
  <si>
    <t>미평가</t>
    <phoneticPr fontId="2" type="noConversion"/>
  </si>
  <si>
    <t>사회과학대학</t>
    <phoneticPr fontId="2" type="noConversion"/>
  </si>
  <si>
    <t>언론정보학과</t>
    <phoneticPr fontId="2" type="noConversion"/>
  </si>
  <si>
    <t>정보문화학</t>
    <phoneticPr fontId="2" type="noConversion"/>
  </si>
  <si>
    <t>2002-1학기</t>
  </si>
  <si>
    <t>학부대학</t>
    <phoneticPr fontId="2" type="noConversion"/>
  </si>
  <si>
    <t xml:space="preserve"> - </t>
    <phoneticPr fontId="2" type="noConversion"/>
  </si>
  <si>
    <t>계산과학</t>
    <phoneticPr fontId="2" type="noConversion"/>
  </si>
  <si>
    <t>2011-1학기</t>
  </si>
  <si>
    <t>경영학과</t>
    <phoneticPr fontId="2" type="noConversion"/>
  </si>
  <si>
    <t>벤처경영학</t>
    <phoneticPr fontId="2" type="noConversion"/>
  </si>
  <si>
    <t>2014-1학기</t>
  </si>
  <si>
    <t>공과대학</t>
    <phoneticPr fontId="2" type="noConversion"/>
  </si>
  <si>
    <t>산업공학과</t>
    <phoneticPr fontId="2" type="noConversion"/>
  </si>
  <si>
    <t>기술경영</t>
    <phoneticPr fontId="2" type="noConversion"/>
  </si>
  <si>
    <t>전기·정보공학부</t>
  </si>
  <si>
    <t>인공지능반도체공학</t>
    <phoneticPr fontId="2" type="noConversion"/>
  </si>
  <si>
    <t>2020-1학기</t>
    <phoneticPr fontId="2" type="noConversion"/>
  </si>
  <si>
    <t>지능형통신</t>
    <phoneticPr fontId="2" type="noConversion"/>
  </si>
  <si>
    <t>2022-1학기</t>
    <phoneticPr fontId="2" type="noConversion"/>
  </si>
  <si>
    <t>전기·정보공학부 및 컴퓨터공학부</t>
    <phoneticPr fontId="2" type="noConversion"/>
  </si>
  <si>
    <t>인공지능</t>
    <phoneticPr fontId="2" type="noConversion"/>
  </si>
  <si>
    <t>2020-2학기</t>
    <phoneticPr fontId="2" type="noConversion"/>
  </si>
  <si>
    <t>글로벌환경경영학</t>
    <phoneticPr fontId="2" type="noConversion"/>
  </si>
  <si>
    <t>2010-2학기</t>
  </si>
  <si>
    <t>미술대학</t>
    <phoneticPr fontId="2" type="noConversion"/>
  </si>
  <si>
    <t>조소과</t>
    <phoneticPr fontId="2" type="noConversion"/>
  </si>
  <si>
    <t>영상매체예술</t>
    <phoneticPr fontId="2" type="noConversion"/>
  </si>
  <si>
    <t>2009-2학기</t>
  </si>
  <si>
    <t>연합전공 소계</t>
    <phoneticPr fontId="2" type="noConversion"/>
  </si>
  <si>
    <t>연계전공
(12개)</t>
    <phoneticPr fontId="2" type="noConversion"/>
  </si>
  <si>
    <t>국어국문학과</t>
    <phoneticPr fontId="2" type="noConversion"/>
  </si>
  <si>
    <t>고전문헌학</t>
    <phoneticPr fontId="2" type="noConversion"/>
  </si>
  <si>
    <t>러시아학</t>
    <phoneticPr fontId="2" type="noConversion"/>
  </si>
  <si>
    <t>2010-1학기</t>
  </si>
  <si>
    <t>서어서문학과</t>
    <phoneticPr fontId="2" type="noConversion"/>
  </si>
  <si>
    <t>라틴아메리카학</t>
    <phoneticPr fontId="2" type="noConversion"/>
  </si>
  <si>
    <t>2012-1학기</t>
  </si>
  <si>
    <t>영화영상학</t>
    <phoneticPr fontId="2" type="noConversion"/>
  </si>
  <si>
    <t>2025-1학기</t>
    <phoneticPr fontId="2" type="noConversion"/>
  </si>
  <si>
    <t>언어학과</t>
    <phoneticPr fontId="2" type="noConversion"/>
  </si>
  <si>
    <t>인문데이터과학</t>
    <phoneticPr fontId="2" type="noConversion"/>
  </si>
  <si>
    <t>경제학부</t>
    <phoneticPr fontId="2" type="noConversion"/>
  </si>
  <si>
    <t>금융경제</t>
    <phoneticPr fontId="2" type="noConversion"/>
  </si>
  <si>
    <t>2009-1학기</t>
  </si>
  <si>
    <t>심리학과</t>
    <phoneticPr fontId="2" type="noConversion"/>
  </si>
  <si>
    <t>뇌-마음-행동</t>
    <phoneticPr fontId="2" type="noConversion"/>
  </si>
  <si>
    <t>일본학</t>
    <phoneticPr fontId="2" type="noConversion"/>
  </si>
  <si>
    <t>유럽지역학</t>
    <phoneticPr fontId="2" type="noConversion"/>
  </si>
  <si>
    <t>자연과학대학</t>
    <phoneticPr fontId="2" type="noConversion"/>
  </si>
  <si>
    <t>수리과학부</t>
    <phoneticPr fontId="2" type="noConversion"/>
  </si>
  <si>
    <t>금융수학</t>
    <phoneticPr fontId="2" type="noConversion"/>
  </si>
  <si>
    <t>생명과학부</t>
    <phoneticPr fontId="2" type="noConversion"/>
  </si>
  <si>
    <t>과학기술학</t>
    <phoneticPr fontId="2" type="noConversion"/>
  </si>
  <si>
    <t>2015-2학기</t>
  </si>
  <si>
    <t>사범대학</t>
    <phoneticPr fontId="2" type="noConversion"/>
  </si>
  <si>
    <t>교육학과</t>
    <phoneticPr fontId="2" type="noConversion"/>
  </si>
  <si>
    <t>학습과학</t>
    <phoneticPr fontId="2" type="noConversion"/>
  </si>
  <si>
    <t>2023-2학기</t>
    <phoneticPr fontId="2" type="noConversion"/>
  </si>
  <si>
    <t>연계전공 소계</t>
    <phoneticPr fontId="2" type="noConversion"/>
  </si>
  <si>
    <t>전체 합계</t>
    <phoneticPr fontId="2" type="noConversion"/>
  </si>
  <si>
    <t>학생조교비 산출 현황</t>
    <phoneticPr fontId="2" type="noConversion"/>
  </si>
  <si>
    <t>순번</t>
    <phoneticPr fontId="2" type="noConversion"/>
  </si>
  <si>
    <t>대학</t>
    <phoneticPr fontId="2" type="noConversion"/>
  </si>
  <si>
    <t>재적생수
('25.5.22 기준)</t>
    <phoneticPr fontId="2" type="noConversion"/>
  </si>
  <si>
    <t>학생조교 이름</t>
    <phoneticPr fontId="2" type="noConversion"/>
  </si>
  <si>
    <t>학번</t>
    <phoneticPr fontId="2" type="noConversion"/>
  </si>
  <si>
    <t>근무기간</t>
    <phoneticPr fontId="2" type="noConversion"/>
  </si>
  <si>
    <t>전공주임교수</t>
    <phoneticPr fontId="2" type="noConversion"/>
  </si>
  <si>
    <t>월지급액</t>
    <phoneticPr fontId="2" type="noConversion"/>
  </si>
  <si>
    <t>개월수</t>
    <phoneticPr fontId="2" type="noConversion"/>
  </si>
  <si>
    <t>총액</t>
    <phoneticPr fontId="2" type="noConversion"/>
  </si>
  <si>
    <t>연합전공</t>
    <phoneticPr fontId="2" type="noConversion"/>
  </si>
  <si>
    <t>동영은</t>
    <phoneticPr fontId="2" type="noConversion"/>
  </si>
  <si>
    <t>2012-30015</t>
    <phoneticPr fontId="2" type="noConversion"/>
  </si>
  <si>
    <t>2025.06.01. ~ 2026.02.28.</t>
    <phoneticPr fontId="2" type="noConversion"/>
  </si>
  <si>
    <t>정요근</t>
    <phoneticPr fontId="2" type="noConversion"/>
  </si>
  <si>
    <t>대학혁신지원사업</t>
    <phoneticPr fontId="2" type="noConversion"/>
  </si>
  <si>
    <t>철학과</t>
    <phoneticPr fontId="2" type="noConversion"/>
  </si>
  <si>
    <t>정치-경제-철학</t>
    <phoneticPr fontId="2" type="noConversion"/>
  </si>
  <si>
    <t>하아나</t>
    <phoneticPr fontId="2" type="noConversion"/>
  </si>
  <si>
    <t>2020-39182</t>
    <phoneticPr fontId="2" type="noConversion"/>
  </si>
  <si>
    <t>주병기</t>
    <phoneticPr fontId="2" type="noConversion"/>
  </si>
  <si>
    <t>연계전공</t>
    <phoneticPr fontId="2" type="noConversion"/>
  </si>
  <si>
    <t>오찬미</t>
    <phoneticPr fontId="2" type="noConversion"/>
  </si>
  <si>
    <t>2021-30884</t>
    <phoneticPr fontId="2" type="noConversion"/>
  </si>
  <si>
    <t>정길수</t>
    <phoneticPr fontId="2" type="noConversion"/>
  </si>
  <si>
    <t>장효형</t>
    <phoneticPr fontId="2" type="noConversion"/>
  </si>
  <si>
    <t>2024-27759</t>
    <phoneticPr fontId="2" type="noConversion"/>
  </si>
  <si>
    <t>이상아</t>
    <phoneticPr fontId="2" type="noConversion"/>
  </si>
  <si>
    <t>보메이</t>
    <phoneticPr fontId="2" type="noConversion"/>
  </si>
  <si>
    <t>2022-39589</t>
    <phoneticPr fontId="2" type="noConversion"/>
  </si>
  <si>
    <t>임호준</t>
    <phoneticPr fontId="2" type="noConversion"/>
  </si>
  <si>
    <t>박진영</t>
    <phoneticPr fontId="2" type="noConversion"/>
  </si>
  <si>
    <t>2021-21140</t>
    <phoneticPr fontId="2" type="noConversion"/>
  </si>
  <si>
    <t>이지홍</t>
    <phoneticPr fontId="2" type="noConversion"/>
  </si>
  <si>
    <t>첨단융합학부 및 학부대학 설립운영</t>
    <phoneticPr fontId="2" type="noConversion"/>
  </si>
  <si>
    <t>조수빈</t>
    <phoneticPr fontId="2" type="noConversion"/>
  </si>
  <si>
    <t>2025-24994</t>
    <phoneticPr fontId="2" type="noConversion"/>
  </si>
  <si>
    <t>이수현</t>
    <phoneticPr fontId="2" type="noConversion"/>
  </si>
  <si>
    <t>한재원</t>
    <phoneticPr fontId="2" type="noConversion"/>
  </si>
  <si>
    <t>2024-28372</t>
    <phoneticPr fontId="2" type="noConversion"/>
  </si>
  <si>
    <t>이재인</t>
    <phoneticPr fontId="2" type="noConversion"/>
  </si>
  <si>
    <t>2023-21103</t>
    <phoneticPr fontId="2" type="noConversion"/>
  </si>
  <si>
    <t>이준웅</t>
    <phoneticPr fontId="2" type="noConversion"/>
  </si>
  <si>
    <t>이지수</t>
    <phoneticPr fontId="2" type="noConversion"/>
  </si>
  <si>
    <t>2023-29506</t>
    <phoneticPr fontId="2" type="noConversion"/>
  </si>
  <si>
    <t>조혜원</t>
    <phoneticPr fontId="2" type="noConversion"/>
  </si>
  <si>
    <t>2025-28183</t>
    <phoneticPr fontId="2" type="noConversion"/>
  </si>
  <si>
    <t>황장하</t>
    <phoneticPr fontId="2" type="noConversion"/>
  </si>
  <si>
    <t>2023-39203</t>
    <phoneticPr fontId="2" type="noConversion"/>
  </si>
  <si>
    <t>2025.06.01. ~ 2025.08.31.</t>
    <phoneticPr fontId="2" type="noConversion"/>
  </si>
  <si>
    <t>이두갑</t>
    <phoneticPr fontId="2" type="noConversion"/>
  </si>
  <si>
    <t>권유빈</t>
    <phoneticPr fontId="2" type="noConversion"/>
  </si>
  <si>
    <t>2025-35005</t>
    <phoneticPr fontId="2" type="noConversion"/>
  </si>
  <si>
    <t>2025.09.01. ~ 2026.02.28.</t>
    <phoneticPr fontId="2" type="noConversion"/>
  </si>
  <si>
    <t>김제현</t>
    <phoneticPr fontId="2" type="noConversion"/>
  </si>
  <si>
    <t>2021-38372</t>
    <phoneticPr fontId="2" type="noConversion"/>
  </si>
  <si>
    <t>박형빈</t>
    <phoneticPr fontId="2" type="noConversion"/>
  </si>
  <si>
    <t>김아린</t>
    <phoneticPr fontId="2" type="noConversion"/>
  </si>
  <si>
    <t>2025-29031</t>
    <phoneticPr fontId="2" type="noConversion"/>
  </si>
  <si>
    <t>이준만</t>
    <phoneticPr fontId="2" type="noConversion"/>
  </si>
  <si>
    <t>김현소</t>
    <phoneticPr fontId="2" type="noConversion"/>
  </si>
  <si>
    <t>2025-24068</t>
    <phoneticPr fontId="2" type="noConversion"/>
  </si>
  <si>
    <t>하자은</t>
    <phoneticPr fontId="2" type="noConversion"/>
  </si>
  <si>
    <t>2024-37958</t>
    <phoneticPr fontId="2" type="noConversion"/>
  </si>
  <si>
    <t>윤상우</t>
    <phoneticPr fontId="2" type="noConversion"/>
  </si>
  <si>
    <t>2023-36847</t>
    <phoneticPr fontId="2" type="noConversion"/>
  </si>
  <si>
    <t>이성주</t>
    <phoneticPr fontId="2" type="noConversion"/>
  </si>
  <si>
    <t>이진수</t>
    <phoneticPr fontId="2" type="noConversion"/>
  </si>
  <si>
    <t>2025-22421</t>
    <phoneticPr fontId="2" type="noConversion"/>
  </si>
  <si>
    <t>김기윤</t>
    <phoneticPr fontId="2" type="noConversion"/>
  </si>
  <si>
    <t>2024-36230</t>
    <phoneticPr fontId="2" type="noConversion"/>
  </si>
  <si>
    <t>김영인</t>
    <phoneticPr fontId="2" type="noConversion"/>
  </si>
  <si>
    <t>2023-26546</t>
    <phoneticPr fontId="2" type="noConversion"/>
  </si>
  <si>
    <t>송현오</t>
    <phoneticPr fontId="2" type="noConversion"/>
  </si>
  <si>
    <t>김진욱</t>
    <phoneticPr fontId="2" type="noConversion"/>
  </si>
  <si>
    <t>2023-21443</t>
    <phoneticPr fontId="2" type="noConversion"/>
  </si>
  <si>
    <t>염준영</t>
    <phoneticPr fontId="2" type="noConversion"/>
  </si>
  <si>
    <t>2024-20403</t>
    <phoneticPr fontId="2" type="noConversion"/>
  </si>
  <si>
    <t>전기·정보공학부</t>
    <phoneticPr fontId="2" type="noConversion"/>
  </si>
  <si>
    <t>엄형선</t>
    <phoneticPr fontId="2" type="noConversion"/>
  </si>
  <si>
    <t>2023-25383</t>
    <phoneticPr fontId="2" type="noConversion"/>
  </si>
  <si>
    <t>김수환</t>
    <phoneticPr fontId="2" type="noConversion"/>
  </si>
  <si>
    <t>한상화</t>
    <phoneticPr fontId="2" type="noConversion"/>
  </si>
  <si>
    <t>2020-24272</t>
    <phoneticPr fontId="2" type="noConversion"/>
  </si>
  <si>
    <t>홍원의</t>
    <phoneticPr fontId="2" type="noConversion"/>
  </si>
  <si>
    <t>2023-26628</t>
    <phoneticPr fontId="2" type="noConversion"/>
  </si>
  <si>
    <t>정석현</t>
    <phoneticPr fontId="2" type="noConversion"/>
  </si>
  <si>
    <t>2022-21927</t>
    <phoneticPr fontId="2" type="noConversion"/>
  </si>
  <si>
    <t>심병효</t>
    <phoneticPr fontId="2" type="noConversion"/>
  </si>
  <si>
    <t>황대욱</t>
    <phoneticPr fontId="2" type="noConversion"/>
  </si>
  <si>
    <t>2024-23955</t>
    <phoneticPr fontId="2" type="noConversion"/>
  </si>
  <si>
    <t>신준항</t>
    <phoneticPr fontId="2" type="noConversion"/>
  </si>
  <si>
    <t>2023-23711</t>
    <phoneticPr fontId="2" type="noConversion"/>
  </si>
  <si>
    <t>박제성</t>
    <phoneticPr fontId="2" type="noConversion"/>
  </si>
  <si>
    <t>조애영</t>
    <phoneticPr fontId="2" type="noConversion"/>
  </si>
  <si>
    <t>2025-33308</t>
    <phoneticPr fontId="2" type="noConversion"/>
  </si>
  <si>
    <t>2025.06.01. ~ 2025.07.31.</t>
    <phoneticPr fontId="2" type="noConversion"/>
  </si>
  <si>
    <t>조영환</t>
    <phoneticPr fontId="2" type="noConversion"/>
  </si>
  <si>
    <t>조연우</t>
    <phoneticPr fontId="2" type="noConversion"/>
  </si>
  <si>
    <t>2025-23950</t>
    <phoneticPr fontId="2" type="noConversion"/>
  </si>
  <si>
    <t>2025.08.01. ~ 2025.11.30.</t>
    <phoneticPr fontId="2" type="noConversion"/>
  </si>
  <si>
    <t>2025.12.01. ~ 2026.02.28.</t>
    <phoneticPr fontId="2" type="noConversion"/>
  </si>
  <si>
    <t>소계</t>
    <phoneticPr fontId="2" type="noConversion"/>
  </si>
  <si>
    <t>※ 재적생 50명 미만 1명, 50명 이상 100명 미만 2명, 100명이상 3명까지 가능</t>
    <phoneticPr fontId="2" type="noConversion"/>
  </si>
  <si>
    <t>단대별 총액
(재배정)</t>
    <phoneticPr fontId="2" type="noConversion"/>
  </si>
  <si>
    <t>김찬희</t>
    <phoneticPr fontId="2" type="noConversion"/>
  </si>
  <si>
    <t>2024-34862</t>
    <phoneticPr fontId="2" type="noConversion"/>
  </si>
  <si>
    <t>연합연계전공 운영 학생조교 명단</t>
    <phoneticPr fontId="2" type="noConversion"/>
  </si>
  <si>
    <t>2025학년도 연합연계전공 운영지원금 내역</t>
    <phoneticPr fontId="2" type="noConversion"/>
  </si>
  <si>
    <t>2025학년도 연합연계전공 조교인건비 내역</t>
    <phoneticPr fontId="2" type="noConversion"/>
  </si>
  <si>
    <t>2025.06.01. ~ 2025.11.30.</t>
    <phoneticPr fontId="2" type="noConversion"/>
  </si>
  <si>
    <t>정예은</t>
    <phoneticPr fontId="2" type="noConversion"/>
  </si>
  <si>
    <t>2023-28715</t>
    <phoneticPr fontId="2" type="noConversion"/>
  </si>
  <si>
    <t>학부대학</t>
  </si>
  <si>
    <t>기타학생경비(조교인건비)</t>
    <phoneticPr fontId="2" type="noConversion"/>
  </si>
  <si>
    <t>총 예산(운영지원금+신설지원금+조교인건비)</t>
    <phoneticPr fontId="2" type="noConversion"/>
  </si>
  <si>
    <t>교육지원비(운영지원금+신설지원금)</t>
    <phoneticPr fontId="2" type="noConversion"/>
  </si>
  <si>
    <t>행 레이블</t>
  </si>
  <si>
    <t>개수 : 전공명칭</t>
  </si>
  <si>
    <t>벤처경영학</t>
  </si>
  <si>
    <t>기술경영</t>
  </si>
  <si>
    <t>인공지능</t>
  </si>
  <si>
    <t>인공지능반도체공학</t>
  </si>
  <si>
    <t>지능형통신</t>
  </si>
  <si>
    <t>영상매체예술</t>
  </si>
  <si>
    <t>학습과학</t>
  </si>
  <si>
    <t>금융경제</t>
  </si>
  <si>
    <t>뇌-마음-행동</t>
  </si>
  <si>
    <t>정보문화학</t>
  </si>
  <si>
    <t>고전문헌학</t>
  </si>
  <si>
    <t>동아시아비교인문학</t>
  </si>
  <si>
    <t>라틴아메리카학</t>
  </si>
  <si>
    <t>영화영상학</t>
  </si>
  <si>
    <t>인문데이터과학</t>
  </si>
  <si>
    <t>과학기술학</t>
  </si>
  <si>
    <t>금융수학</t>
  </si>
  <si>
    <t>계산과학</t>
  </si>
  <si>
    <t>글로벌환경경영학</t>
  </si>
  <si>
    <t>러시아학</t>
  </si>
  <si>
    <t>유럽지역학</t>
  </si>
  <si>
    <t>일본학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</si>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</sst>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견고딕"/>
      <family val="1"/>
      <charset val="129"/>
    </font>
    <font>
      <b/>
      <sz val="10"/>
      <color rgb="FF222222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double">
        <color theme="1"/>
      </bottom>
      <diagonal/>
    </border>
    <border>
      <left/>
      <right/>
      <top style="thin">
        <color indexed="64"/>
      </top>
      <bottom style="double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double">
        <color theme="1"/>
      </bottom>
      <diagonal/>
    </border>
    <border>
      <left/>
      <right/>
      <top style="medium">
        <color indexed="64"/>
      </top>
      <bottom style="double">
        <color theme="1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double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double">
        <color theme="1"/>
      </bottom>
      <diagonal/>
    </border>
    <border>
      <left/>
      <right style="medium">
        <color indexed="64"/>
      </right>
      <top style="medium">
        <color indexed="64"/>
      </top>
      <bottom style="double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41" fontId="0" fillId="0" borderId="0" xfId="0" applyNumberFormat="1">
      <alignment vertical="center"/>
    </xf>
    <xf numFmtId="41" fontId="0" fillId="0" borderId="1" xfId="1" applyFont="1" applyBorder="1">
      <alignment vertical="center"/>
    </xf>
    <xf numFmtId="0" fontId="5" fillId="0" borderId="0" xfId="0" applyFont="1">
      <alignment vertical="center"/>
    </xf>
    <xf numFmtId="41" fontId="0" fillId="3" borderId="1" xfId="1" applyFont="1" applyFill="1" applyBorder="1">
      <alignment vertical="center"/>
    </xf>
    <xf numFmtId="41" fontId="0" fillId="0" borderId="0" xfId="1" applyFont="1">
      <alignment vertical="center"/>
    </xf>
    <xf numFmtId="0" fontId="0" fillId="3" borderId="1" xfId="0" applyFill="1" applyBorder="1">
      <alignment vertical="center"/>
    </xf>
    <xf numFmtId="41" fontId="0" fillId="0" borderId="1" xfId="0" applyNumberFormat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41" fontId="11" fillId="6" borderId="0" xfId="1" applyFont="1" applyFill="1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41" fontId="14" fillId="0" borderId="9" xfId="1" applyFont="1" applyFill="1" applyBorder="1" applyAlignment="1">
      <alignment horizontal="center" vertical="center" wrapText="1"/>
    </xf>
    <xf numFmtId="41" fontId="14" fillId="0" borderId="10" xfId="1" applyFont="1" applyFill="1" applyBorder="1" applyAlignment="1">
      <alignment horizontal="center" vertical="center" wrapText="1"/>
    </xf>
    <xf numFmtId="41" fontId="14" fillId="0" borderId="11" xfId="1" applyFont="1" applyFill="1" applyBorder="1" applyAlignment="1">
      <alignment horizontal="center" vertical="center" wrapText="1"/>
    </xf>
    <xf numFmtId="41" fontId="14" fillId="2" borderId="12" xfId="1" applyFont="1" applyFill="1" applyBorder="1" applyAlignment="1">
      <alignment horizontal="center" vertical="center" wrapText="1"/>
    </xf>
    <xf numFmtId="41" fontId="14" fillId="2" borderId="12" xfId="1" applyFont="1" applyFill="1" applyBorder="1" applyAlignment="1">
      <alignment horizontal="center" vertical="center"/>
    </xf>
    <xf numFmtId="41" fontId="14" fillId="2" borderId="13" xfId="1" applyFont="1" applyFill="1" applyBorder="1" applyAlignment="1">
      <alignment horizontal="center" vertical="center"/>
    </xf>
    <xf numFmtId="41" fontId="14" fillId="0" borderId="14" xfId="1" applyFont="1" applyFill="1" applyBorder="1" applyAlignment="1">
      <alignment horizontal="center" vertical="center" wrapText="1"/>
    </xf>
    <xf numFmtId="41" fontId="14" fillId="0" borderId="15" xfId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49" fontId="17" fillId="0" borderId="17" xfId="1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41" fontId="17" fillId="0" borderId="19" xfId="1" applyFont="1" applyFill="1" applyBorder="1" applyAlignment="1">
      <alignment horizontal="center" vertical="center"/>
    </xf>
    <xf numFmtId="9" fontId="17" fillId="0" borderId="20" xfId="1" applyNumberFormat="1" applyFont="1" applyFill="1" applyBorder="1" applyAlignment="1">
      <alignment horizontal="center" vertical="center"/>
    </xf>
    <xf numFmtId="9" fontId="17" fillId="0" borderId="21" xfId="1" applyNumberFormat="1" applyFont="1" applyFill="1" applyBorder="1" applyAlignment="1">
      <alignment horizontal="center" vertical="center"/>
    </xf>
    <xf numFmtId="41" fontId="17" fillId="0" borderId="22" xfId="1" applyFont="1" applyFill="1" applyBorder="1" applyAlignment="1">
      <alignment horizontal="center" vertical="center"/>
    </xf>
    <xf numFmtId="41" fontId="17" fillId="0" borderId="23" xfId="1" applyFont="1" applyFill="1" applyBorder="1" applyAlignment="1">
      <alignment horizontal="center" vertical="center"/>
    </xf>
    <xf numFmtId="41" fontId="14" fillId="0" borderId="24" xfId="0" applyNumberFormat="1" applyFont="1" applyBorder="1" applyAlignment="1">
      <alignment horizontal="center" vertical="center"/>
    </xf>
    <xf numFmtId="41" fontId="17" fillId="0" borderId="2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41" fontId="17" fillId="0" borderId="27" xfId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49" fontId="17" fillId="0" borderId="29" xfId="1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41" fontId="17" fillId="0" borderId="27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43" fontId="0" fillId="0" borderId="0" xfId="0" applyNumberFormat="1">
      <alignment vertical="center"/>
    </xf>
    <xf numFmtId="41" fontId="17" fillId="0" borderId="3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49" fontId="17" fillId="6" borderId="29" xfId="1" applyNumberFormat="1" applyFont="1" applyFill="1" applyBorder="1" applyAlignment="1">
      <alignment horizontal="center" vertical="center"/>
    </xf>
    <xf numFmtId="41" fontId="17" fillId="6" borderId="22" xfId="1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 shrinkToFit="1"/>
    </xf>
    <xf numFmtId="0" fontId="15" fillId="4" borderId="20" xfId="0" applyFont="1" applyFill="1" applyBorder="1" applyAlignment="1">
      <alignment horizontal="center" vertical="center"/>
    </xf>
    <xf numFmtId="41" fontId="14" fillId="4" borderId="19" xfId="1" applyFont="1" applyFill="1" applyBorder="1" applyAlignment="1">
      <alignment horizontal="center" vertical="center"/>
    </xf>
    <xf numFmtId="9" fontId="14" fillId="4" borderId="20" xfId="1" applyNumberFormat="1" applyFont="1" applyFill="1" applyBorder="1" applyAlignment="1">
      <alignment horizontal="center" vertical="center"/>
    </xf>
    <xf numFmtId="9" fontId="14" fillId="4" borderId="21" xfId="1" applyNumberFormat="1" applyFont="1" applyFill="1" applyBorder="1" applyAlignment="1">
      <alignment horizontal="center" vertical="center"/>
    </xf>
    <xf numFmtId="41" fontId="14" fillId="4" borderId="22" xfId="1" applyFont="1" applyFill="1" applyBorder="1" applyAlignment="1">
      <alignment horizontal="center" vertical="center"/>
    </xf>
    <xf numFmtId="41" fontId="14" fillId="4" borderId="32" xfId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9" fontId="17" fillId="0" borderId="35" xfId="1" applyNumberFormat="1" applyFont="1" applyFill="1" applyBorder="1" applyAlignment="1">
      <alignment horizontal="center" vertical="center"/>
    </xf>
    <xf numFmtId="9" fontId="17" fillId="0" borderId="36" xfId="1" applyNumberFormat="1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5" fillId="0" borderId="20" xfId="0" quotePrefix="1" applyFont="1" applyBorder="1" applyAlignment="1">
      <alignment horizontal="center" vertical="center"/>
    </xf>
    <xf numFmtId="9" fontId="17" fillId="0" borderId="21" xfId="1" quotePrefix="1" applyNumberFormat="1" applyFont="1" applyFill="1" applyBorder="1" applyAlignment="1">
      <alignment horizontal="center" vertical="center"/>
    </xf>
    <xf numFmtId="41" fontId="17" fillId="0" borderId="27" xfId="0" quotePrefix="1" applyNumberFormat="1" applyFont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41" fontId="14" fillId="4" borderId="20" xfId="1" applyFont="1" applyFill="1" applyBorder="1" applyAlignment="1">
      <alignment horizontal="center" vertical="center"/>
    </xf>
    <xf numFmtId="41" fontId="14" fillId="4" borderId="21" xfId="1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41" fontId="9" fillId="5" borderId="38" xfId="0" applyNumberFormat="1" applyFont="1" applyFill="1" applyBorder="1">
      <alignment vertical="center"/>
    </xf>
    <xf numFmtId="41" fontId="9" fillId="5" borderId="39" xfId="0" applyNumberFormat="1" applyFont="1" applyFill="1" applyBorder="1">
      <alignment vertical="center"/>
    </xf>
    <xf numFmtId="41" fontId="9" fillId="5" borderId="40" xfId="0" applyNumberFormat="1" applyFont="1" applyFill="1" applyBorder="1">
      <alignment vertical="center"/>
    </xf>
    <xf numFmtId="41" fontId="9" fillId="5" borderId="41" xfId="0" applyNumberFormat="1" applyFont="1" applyFill="1" applyBorder="1">
      <alignment vertical="center"/>
    </xf>
    <xf numFmtId="41" fontId="18" fillId="5" borderId="42" xfId="1" applyFont="1" applyFill="1" applyBorder="1" applyAlignment="1">
      <alignment horizontal="center" vertical="center"/>
    </xf>
    <xf numFmtId="41" fontId="14" fillId="5" borderId="43" xfId="1" applyFont="1" applyFill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/>
    </xf>
    <xf numFmtId="41" fontId="5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 wrapText="1"/>
    </xf>
    <xf numFmtId="0" fontId="5" fillId="3" borderId="50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quotePrefix="1" applyFont="1" applyBorder="1" applyAlignment="1">
      <alignment horizontal="center" vertical="center"/>
    </xf>
    <xf numFmtId="41" fontId="0" fillId="0" borderId="0" xfId="1" applyFont="1" applyFill="1" applyBorder="1">
      <alignment vertical="center"/>
    </xf>
    <xf numFmtId="0" fontId="5" fillId="0" borderId="5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5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41" fontId="0" fillId="0" borderId="61" xfId="1" applyFont="1" applyFill="1" applyBorder="1">
      <alignment vertical="center"/>
    </xf>
    <xf numFmtId="0" fontId="0" fillId="0" borderId="61" xfId="0" applyBorder="1">
      <alignment vertical="center"/>
    </xf>
    <xf numFmtId="41" fontId="0" fillId="0" borderId="61" xfId="0" applyNumberFormat="1" applyBorder="1">
      <alignment vertical="center"/>
    </xf>
    <xf numFmtId="41" fontId="0" fillId="0" borderId="2" xfId="1" applyFont="1" applyFill="1" applyBorder="1">
      <alignment vertical="center"/>
    </xf>
    <xf numFmtId="0" fontId="0" fillId="0" borderId="2" xfId="0" applyBorder="1">
      <alignment vertical="center"/>
    </xf>
    <xf numFmtId="41" fontId="0" fillId="0" borderId="2" xfId="0" applyNumberFormat="1" applyBorder="1">
      <alignment vertical="center"/>
    </xf>
    <xf numFmtId="41" fontId="10" fillId="3" borderId="0" xfId="1" applyFont="1" applyFill="1" applyBorder="1">
      <alignment vertical="center"/>
    </xf>
    <xf numFmtId="41" fontId="10" fillId="0" borderId="0" xfId="1" applyFont="1" applyFill="1" applyBorder="1">
      <alignment vertical="center"/>
    </xf>
    <xf numFmtId="0" fontId="5" fillId="0" borderId="6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 wrapText="1"/>
    </xf>
    <xf numFmtId="41" fontId="0" fillId="0" borderId="69" xfId="1" applyFont="1" applyFill="1" applyBorder="1">
      <alignment vertical="center"/>
    </xf>
    <xf numFmtId="0" fontId="0" fillId="0" borderId="69" xfId="0" applyBorder="1">
      <alignment vertical="center"/>
    </xf>
    <xf numFmtId="41" fontId="0" fillId="0" borderId="69" xfId="0" applyNumberFormat="1" applyBorder="1">
      <alignment vertical="center"/>
    </xf>
    <xf numFmtId="0" fontId="5" fillId="0" borderId="58" xfId="0" applyFont="1" applyBorder="1" applyAlignment="1">
      <alignment horizontal="left" vertical="center" wrapText="1"/>
    </xf>
    <xf numFmtId="0" fontId="10" fillId="3" borderId="58" xfId="0" applyFont="1" applyFill="1" applyBorder="1" applyAlignment="1">
      <alignment horizontal="center" vertical="center" wrapText="1"/>
    </xf>
    <xf numFmtId="0" fontId="5" fillId="0" borderId="62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41" fontId="0" fillId="0" borderId="0" xfId="0" applyNumberFormat="1" applyBorder="1">
      <alignment vertical="center"/>
    </xf>
    <xf numFmtId="41" fontId="5" fillId="4" borderId="49" xfId="0" applyNumberFormat="1" applyFont="1" applyFill="1" applyBorder="1">
      <alignment vertical="center"/>
    </xf>
    <xf numFmtId="0" fontId="5" fillId="4" borderId="50" xfId="0" applyFont="1" applyFill="1" applyBorder="1" applyAlignment="1">
      <alignment horizontal="left" vertical="center" wrapText="1"/>
    </xf>
    <xf numFmtId="41" fontId="0" fillId="0" borderId="72" xfId="1" applyFont="1" applyFill="1" applyBorder="1">
      <alignment vertical="center"/>
    </xf>
    <xf numFmtId="0" fontId="0" fillId="0" borderId="72" xfId="0" applyBorder="1">
      <alignment vertical="center"/>
    </xf>
    <xf numFmtId="41" fontId="0" fillId="0" borderId="72" xfId="0" applyNumberFormat="1" applyBorder="1">
      <alignment vertical="center"/>
    </xf>
    <xf numFmtId="0" fontId="10" fillId="3" borderId="0" xfId="0" applyFont="1" applyFill="1" applyBorder="1">
      <alignment vertical="center"/>
    </xf>
    <xf numFmtId="41" fontId="0" fillId="3" borderId="0" xfId="0" applyNumberFormat="1" applyFill="1" applyBorder="1">
      <alignment vertical="center"/>
    </xf>
    <xf numFmtId="0" fontId="10" fillId="0" borderId="0" xfId="0" applyFont="1" applyBorder="1">
      <alignment vertical="center"/>
    </xf>
    <xf numFmtId="41" fontId="0" fillId="0" borderId="71" xfId="1" applyFont="1" applyFill="1" applyBorder="1">
      <alignment vertical="center"/>
    </xf>
    <xf numFmtId="0" fontId="0" fillId="0" borderId="39" xfId="0" applyBorder="1">
      <alignment vertical="center"/>
    </xf>
    <xf numFmtId="41" fontId="0" fillId="0" borderId="39" xfId="0" applyNumberFormat="1" applyBorder="1">
      <alignment vertical="center"/>
    </xf>
    <xf numFmtId="41" fontId="0" fillId="4" borderId="1" xfId="1" applyFont="1" applyFill="1" applyBorder="1">
      <alignment vertical="center"/>
    </xf>
    <xf numFmtId="41" fontId="0" fillId="9" borderId="1" xfId="1" applyFont="1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58" xfId="0" applyFont="1" applyFill="1" applyBorder="1" applyAlignment="1">
      <alignment horizontal="center" vertical="center" wrapText="1"/>
    </xf>
    <xf numFmtId="41" fontId="23" fillId="0" borderId="70" xfId="1" applyFont="1" applyFill="1" applyBorder="1">
      <alignment vertical="center"/>
    </xf>
    <xf numFmtId="0" fontId="23" fillId="0" borderId="61" xfId="0" applyFont="1" applyFill="1" applyBorder="1">
      <alignment vertical="center"/>
    </xf>
    <xf numFmtId="41" fontId="23" fillId="0" borderId="61" xfId="0" applyNumberFormat="1" applyFont="1" applyFill="1" applyBorder="1">
      <alignment vertical="center"/>
    </xf>
    <xf numFmtId="41" fontId="23" fillId="0" borderId="63" xfId="1" applyFont="1" applyFill="1" applyBorder="1">
      <alignment vertical="center"/>
    </xf>
    <xf numFmtId="0" fontId="23" fillId="0" borderId="0" xfId="0" applyFont="1" applyFill="1" applyBorder="1">
      <alignment vertical="center"/>
    </xf>
    <xf numFmtId="41" fontId="23" fillId="0" borderId="0" xfId="0" applyNumberFormat="1" applyFont="1" applyFill="1" applyBorder="1">
      <alignment vertical="center"/>
    </xf>
    <xf numFmtId="0" fontId="22" fillId="0" borderId="59" xfId="0" applyFont="1" applyFill="1" applyBorder="1" applyAlignment="1">
      <alignment horizontal="center" vertical="center"/>
    </xf>
    <xf numFmtId="0" fontId="23" fillId="0" borderId="59" xfId="0" applyFont="1" applyFill="1" applyBorder="1" applyAlignment="1">
      <alignment horizontal="center" vertical="center"/>
    </xf>
    <xf numFmtId="0" fontId="23" fillId="0" borderId="60" xfId="0" applyFont="1" applyFill="1" applyBorder="1" applyAlignment="1">
      <alignment horizontal="center" vertical="center" wrapText="1"/>
    </xf>
    <xf numFmtId="41" fontId="23" fillId="0" borderId="0" xfId="1" applyFont="1" applyFill="1" applyBorder="1">
      <alignment vertical="center"/>
    </xf>
    <xf numFmtId="41" fontId="17" fillId="11" borderId="22" xfId="1" applyFont="1" applyFill="1" applyBorder="1" applyAlignment="1">
      <alignment horizontal="center" vertical="center"/>
    </xf>
    <xf numFmtId="0" fontId="9" fillId="5" borderId="37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8" borderId="45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41" fontId="0" fillId="0" borderId="5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54" xfId="0" applyFont="1" applyBorder="1" applyAlignment="1">
      <alignment horizontal="left" vertical="center" wrapText="1"/>
    </xf>
    <xf numFmtId="0" fontId="5" fillId="0" borderId="58" xfId="0" applyFont="1" applyBorder="1" applyAlignment="1">
      <alignment horizontal="left" vertical="center" wrapText="1"/>
    </xf>
    <xf numFmtId="41" fontId="0" fillId="0" borderId="1" xfId="0" applyNumberFormat="1" applyBorder="1" applyAlignment="1">
      <alignment horizontal="center" vertical="center"/>
    </xf>
    <xf numFmtId="0" fontId="20" fillId="0" borderId="58" xfId="0" applyFont="1" applyBorder="1" applyAlignment="1">
      <alignment horizontal="left" vertical="center" wrapText="1"/>
    </xf>
    <xf numFmtId="0" fontId="20" fillId="0" borderId="67" xfId="0" applyFont="1" applyBorder="1" applyAlignment="1">
      <alignment horizontal="left" vertical="center" wrapText="1"/>
    </xf>
    <xf numFmtId="0" fontId="0" fillId="0" borderId="66" xfId="0" applyBorder="1" applyAlignment="1">
      <alignment horizontal="center" vertical="center"/>
    </xf>
    <xf numFmtId="41" fontId="0" fillId="0" borderId="57" xfId="0" applyNumberFormat="1" applyFill="1" applyBorder="1" applyAlignment="1">
      <alignment horizontal="center" vertical="center"/>
    </xf>
    <xf numFmtId="41" fontId="0" fillId="0" borderId="55" xfId="0" applyNumberFormat="1" applyFill="1" applyBorder="1" applyAlignment="1">
      <alignment horizontal="center" vertical="center"/>
    </xf>
    <xf numFmtId="41" fontId="0" fillId="0" borderId="65" xfId="0" applyNumberForma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10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10" borderId="76" xfId="0" applyFont="1" applyFill="1" applyBorder="1" applyAlignment="1">
      <alignment horizontal="center" vertical="center"/>
    </xf>
    <xf numFmtId="0" fontId="5" fillId="10" borderId="77" xfId="0" applyFont="1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0" borderId="56" xfId="0" applyBorder="1">
      <alignment vertical="center"/>
    </xf>
    <xf numFmtId="41" fontId="0" fillId="0" borderId="58" xfId="0" applyNumberFormat="1" applyBorder="1">
      <alignment vertical="center"/>
    </xf>
    <xf numFmtId="41" fontId="0" fillId="0" borderId="58" xfId="1" applyFont="1" applyBorder="1" applyAlignment="1">
      <alignment horizontal="center" vertical="center"/>
    </xf>
    <xf numFmtId="0" fontId="0" fillId="0" borderId="64" xfId="0" applyBorder="1">
      <alignment vertical="center"/>
    </xf>
    <xf numFmtId="41" fontId="0" fillId="0" borderId="67" xfId="0" applyNumberFormat="1" applyBorder="1">
      <alignment vertical="center"/>
    </xf>
    <xf numFmtId="0" fontId="5" fillId="0" borderId="78" xfId="0" applyFont="1" applyBorder="1" applyAlignment="1">
      <alignment horizontal="center" vertical="center"/>
    </xf>
    <xf numFmtId="0" fontId="5" fillId="5" borderId="77" xfId="0" applyFont="1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41" fontId="0" fillId="0" borderId="66" xfId="0" applyNumberFormat="1" applyBorder="1">
      <alignment vertical="center"/>
    </xf>
    <xf numFmtId="0" fontId="0" fillId="0" borderId="66" xfId="0" applyBorder="1">
      <alignment vertical="center"/>
    </xf>
    <xf numFmtId="0" fontId="5" fillId="10" borderId="56" xfId="0" applyFont="1" applyFill="1" applyBorder="1" applyAlignment="1">
      <alignment horizontal="center" vertical="center"/>
    </xf>
    <xf numFmtId="0" fontId="5" fillId="12" borderId="74" xfId="0" applyFont="1" applyFill="1" applyBorder="1" applyAlignment="1">
      <alignment horizontal="center" vertical="center"/>
    </xf>
    <xf numFmtId="0" fontId="5" fillId="12" borderId="78" xfId="0" applyFont="1" applyFill="1" applyBorder="1" applyAlignment="1">
      <alignment horizontal="center" vertical="center"/>
    </xf>
    <xf numFmtId="0" fontId="5" fillId="12" borderId="7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CC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esktop/&#44368;&#47924;%20(&#50672;&#54633;&#50672;&#44228;&#51204;&#44277;)/00.%20&#44228;&#54925;&#50504;/&#45236;&#48512;&#44208;&#51116;/&#48537;&#51076;1%202025%20&#50672;&#54633;&#50672;&#44228;&#51204;&#44277;%20&#50868;&#50689;&#51648;&#50896;&#44552;%20&#51648;&#50896;(&#50504;)_&#52572;&#51333;(250522_&#49688;&#51221;)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466960185186" createdVersion="7" refreshedVersion="7" minRefreshableVersion="3" recordCount="23" xr:uid="{29C907E0-E8E7-41BC-8C1E-1EAC76981ECF}">
  <cacheSource type="worksheet">
    <worksheetSource ref="A2:O25" sheet="운영지원금(1차,2차)" r:id="rId2"/>
  </cacheSource>
  <cacheFields count="15">
    <cacheField name="주관대학" numFmtId="0">
      <sharedItems count="8">
        <s v="인문대학"/>
        <s v="사회과학대학"/>
        <s v="학부대학"/>
        <s v="경영대학"/>
        <s v="공과대학"/>
        <s v="미술대학"/>
        <s v="자연과학대학"/>
        <s v="사범대학"/>
      </sharedItems>
    </cacheField>
    <cacheField name="주관학과" numFmtId="0">
      <sharedItems/>
    </cacheField>
    <cacheField name="전공명칭" numFmtId="0">
      <sharedItems count="23">
        <s v="동아시아비교인문학"/>
        <s v="정치-경제-철학"/>
        <s v="정보문화학"/>
        <s v="계산과학"/>
        <s v="벤처경영학"/>
        <s v="기술경영"/>
        <s v="인공지능반도체공학"/>
        <s v="지능형통신"/>
        <s v="인공지능"/>
        <s v="글로벌환경경영학"/>
        <s v="영상매체예술"/>
        <s v="고전문헌학"/>
        <s v="러시아학"/>
        <s v="라틴아메리카학"/>
        <s v="영화영상학"/>
        <s v="인문데이터과학"/>
        <s v="금융경제"/>
        <s v="뇌-마음-행동"/>
        <s v="일본학"/>
        <s v="유럽지역학"/>
        <s v="금융수학"/>
        <s v="과학기술학"/>
        <s v="학습과학"/>
      </sharedItems>
    </cacheField>
    <cacheField name="시행시기" numFmtId="0">
      <sharedItems/>
    </cacheField>
    <cacheField name="재적생 수_x000a_(A, 2025.5.22.기준)" numFmtId="0">
      <sharedItems containsSemiMixedTypes="0" containsString="0" containsNumber="1" containsInteger="1" minValue="10" maxValue="263"/>
    </cacheField>
    <cacheField name="기본운영비_x000a_(B)" numFmtId="41">
      <sharedItems containsSemiMixedTypes="0" containsString="0" containsNumber="1" containsInteger="1" minValue="2500000" maxValue="3500000"/>
    </cacheField>
    <cacheField name="전년도집행률_x000a_(C)" numFmtId="9">
      <sharedItems containsSemiMixedTypes="0" containsString="0" containsNumber="1" minValue="0.6" maxValue="1"/>
    </cacheField>
    <cacheField name="전년도집행률 조정_x000a_(C')" numFmtId="9">
      <sharedItems containsSemiMixedTypes="0" containsString="0" containsNumber="1" minValue="0.7" maxValue="1"/>
    </cacheField>
    <cacheField name="기본운영비 조정_x000a_(B'=B*C')" numFmtId="41">
      <sharedItems containsSemiMixedTypes="0" containsString="0" containsNumber="1" containsInteger="1" minValue="2000000" maxValue="3500000"/>
    </cacheField>
    <cacheField name="재적생 기준_x000a_(A*36,000)" numFmtId="41">
      <sharedItems containsSemiMixedTypes="0" containsString="0" containsNumber="1" containsInteger="1" minValue="360000" maxValue="9468000"/>
    </cacheField>
    <cacheField name="평가 등급별_x000a_ 지원금" numFmtId="41">
      <sharedItems containsMixedTypes="1" containsNumber="1" containsInteger="1" minValue="0" maxValue="7000000"/>
    </cacheField>
    <cacheField name="신설 지원금" numFmtId="41">
      <sharedItems containsSemiMixedTypes="0" containsString="0" containsNumber="1" containsInteger="1" minValue="0" maxValue="2000000"/>
    </cacheField>
    <cacheField name="계" numFmtId="41">
      <sharedItems containsSemiMixedTypes="0" containsString="0" containsNumber="1" containsInteger="1" minValue="5040000" maxValue="18248000"/>
    </cacheField>
    <cacheField name="전년도_x000a_지원금액" numFmtId="41">
      <sharedItems containsSemiMixedTypes="0" containsString="0" containsNumber="1" containsInteger="1" minValue="0" maxValue="14700000"/>
    </cacheField>
    <cacheField name="비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s v="국사학과"/>
    <x v="0"/>
    <s v="2016-2학기"/>
    <n v="10"/>
    <n v="3500000"/>
    <n v="1"/>
    <n v="1"/>
    <n v="3500000"/>
    <n v="360000"/>
    <n v="3000000"/>
    <n v="0"/>
    <n v="6860000"/>
    <n v="3000000"/>
    <m/>
  </r>
  <r>
    <x v="0"/>
    <s v="철학과"/>
    <x v="1"/>
    <s v="2024-2학기"/>
    <n v="137"/>
    <n v="3500000"/>
    <n v="0.99"/>
    <n v="1"/>
    <n v="3500000"/>
    <n v="4932000"/>
    <s v="미평가"/>
    <n v="0"/>
    <n v="8432000"/>
    <n v="7000000"/>
    <m/>
  </r>
  <r>
    <x v="1"/>
    <s v="언론정보학과"/>
    <x v="2"/>
    <s v="2002-1학기"/>
    <n v="141"/>
    <n v="3500000"/>
    <n v="0.99"/>
    <n v="1"/>
    <n v="3500000"/>
    <n v="5076000"/>
    <n v="7000000"/>
    <n v="0"/>
    <n v="15576000"/>
    <n v="14700000"/>
    <m/>
  </r>
  <r>
    <x v="2"/>
    <s v=" - "/>
    <x v="3"/>
    <s v="2011-1학기"/>
    <n v="32"/>
    <n v="3500000"/>
    <n v="0.99"/>
    <n v="1"/>
    <n v="3500000"/>
    <n v="1152000"/>
    <n v="3000000"/>
    <n v="0"/>
    <n v="7652000"/>
    <n v="4250000"/>
    <m/>
  </r>
  <r>
    <x v="3"/>
    <s v="경영학과"/>
    <x v="4"/>
    <s v="2014-1학기"/>
    <n v="122"/>
    <n v="3500000"/>
    <n v="1"/>
    <n v="1"/>
    <n v="3500000"/>
    <n v="4392000"/>
    <n v="7000000"/>
    <n v="0"/>
    <n v="14892000"/>
    <n v="14190000"/>
    <m/>
  </r>
  <r>
    <x v="4"/>
    <s v="산업공학과"/>
    <x v="5"/>
    <s v="2002-1학기"/>
    <n v="165"/>
    <n v="3500000"/>
    <n v="1"/>
    <n v="1"/>
    <n v="3500000"/>
    <n v="5940000"/>
    <n v="3000000"/>
    <n v="0"/>
    <n v="12440000"/>
    <n v="7940000"/>
    <m/>
  </r>
  <r>
    <x v="4"/>
    <s v="전기·정보공학부"/>
    <x v="6"/>
    <s v="2020-1학기"/>
    <n v="207"/>
    <n v="3500000"/>
    <n v="0.6"/>
    <n v="0.7"/>
    <n v="2450000"/>
    <n v="7452000"/>
    <n v="0"/>
    <n v="0"/>
    <n v="9902000"/>
    <n v="6840000"/>
    <m/>
  </r>
  <r>
    <x v="4"/>
    <s v="전기·정보공학부"/>
    <x v="7"/>
    <s v="2022-1학기"/>
    <n v="56"/>
    <n v="3500000"/>
    <n v="0.99"/>
    <n v="1"/>
    <n v="3500000"/>
    <n v="2016000"/>
    <n v="3000000"/>
    <n v="0"/>
    <n v="8516000"/>
    <n v="1520000"/>
    <m/>
  </r>
  <r>
    <x v="4"/>
    <s v="전기·정보공학부 및 컴퓨터공학부"/>
    <x v="8"/>
    <s v="2020-2학기"/>
    <n v="263"/>
    <n v="3500000"/>
    <n v="0.85"/>
    <n v="0.9"/>
    <n v="3150000"/>
    <n v="9468000"/>
    <n v="3000000"/>
    <n v="0"/>
    <n v="15618000"/>
    <n v="9320000"/>
    <m/>
  </r>
  <r>
    <x v="2"/>
    <s v=" - "/>
    <x v="9"/>
    <s v="2010-2학기"/>
    <n v="98"/>
    <n v="3500000"/>
    <n v="1"/>
    <n v="1"/>
    <n v="3500000"/>
    <n v="3528000"/>
    <n v="7000000"/>
    <n v="0"/>
    <n v="14028000"/>
    <n v="9680000"/>
    <m/>
  </r>
  <r>
    <x v="5"/>
    <s v="조소과"/>
    <x v="10"/>
    <s v="2009-2학기"/>
    <n v="36"/>
    <n v="3500000"/>
    <n v="1"/>
    <n v="1"/>
    <n v="3500000"/>
    <n v="1296000"/>
    <n v="3000000"/>
    <n v="0"/>
    <n v="7796000"/>
    <n v="8180000"/>
    <m/>
  </r>
  <r>
    <x v="0"/>
    <s v="국어국문학과"/>
    <x v="11"/>
    <s v="2016-2학기"/>
    <n v="17"/>
    <n v="2500000"/>
    <n v="0.99"/>
    <n v="1"/>
    <n v="2500000"/>
    <n v="612000"/>
    <n v="3000000"/>
    <n v="0"/>
    <n v="6112000"/>
    <n v="4000000"/>
    <m/>
  </r>
  <r>
    <x v="2"/>
    <s v=" - "/>
    <x v="12"/>
    <s v="2010-1학기"/>
    <n v="10"/>
    <n v="2500000"/>
    <n v="0.9"/>
    <n v="1"/>
    <n v="2500000"/>
    <n v="360000"/>
    <n v="3000000"/>
    <n v="0"/>
    <n v="5860000"/>
    <n v="4710000"/>
    <m/>
  </r>
  <r>
    <x v="0"/>
    <s v="서어서문학과"/>
    <x v="13"/>
    <s v="2012-1학기"/>
    <n v="19"/>
    <n v="2500000"/>
    <n v="1"/>
    <n v="1"/>
    <n v="2500000"/>
    <n v="684000"/>
    <n v="3000000"/>
    <n v="0"/>
    <n v="6184000"/>
    <n v="9850000"/>
    <m/>
  </r>
  <r>
    <x v="0"/>
    <s v="서어서문학과"/>
    <x v="14"/>
    <s v="2025-1학기"/>
    <n v="15"/>
    <n v="2500000"/>
    <n v="1"/>
    <n v="1"/>
    <n v="2500000"/>
    <n v="540000"/>
    <s v="미평가"/>
    <n v="2000000"/>
    <n v="5040000"/>
    <n v="0"/>
    <m/>
  </r>
  <r>
    <x v="0"/>
    <s v="언어학과"/>
    <x v="15"/>
    <s v="2016-2학기"/>
    <n v="43"/>
    <n v="2500000"/>
    <n v="0.75"/>
    <n v="0.8"/>
    <n v="2000000"/>
    <n v="1548000"/>
    <n v="7000000"/>
    <n v="0"/>
    <n v="10548000"/>
    <n v="6000000"/>
    <m/>
  </r>
  <r>
    <x v="1"/>
    <s v="경제학부"/>
    <x v="16"/>
    <s v="2009-1학기"/>
    <n v="243"/>
    <n v="2500000"/>
    <n v="1"/>
    <n v="1"/>
    <n v="2500000"/>
    <n v="8748000"/>
    <n v="7000000"/>
    <n v="0"/>
    <n v="18248000"/>
    <n v="12910000"/>
    <m/>
  </r>
  <r>
    <x v="1"/>
    <s v="심리학과"/>
    <x v="17"/>
    <s v="2009-2학기"/>
    <n v="73"/>
    <n v="2500000"/>
    <n v="1"/>
    <n v="1"/>
    <n v="2500000"/>
    <n v="2628000"/>
    <n v="7000000"/>
    <n v="0"/>
    <n v="12128000"/>
    <n v="9330000"/>
    <m/>
  </r>
  <r>
    <x v="2"/>
    <s v=" - "/>
    <x v="18"/>
    <s v="2020-1학기"/>
    <n v="19"/>
    <n v="2500000"/>
    <n v="1"/>
    <n v="1"/>
    <n v="2500000"/>
    <n v="684000"/>
    <n v="3000000"/>
    <n v="0"/>
    <n v="6184000"/>
    <n v="2830000"/>
    <m/>
  </r>
  <r>
    <x v="2"/>
    <s v=" - "/>
    <x v="19"/>
    <s v="2009-2학기"/>
    <n v="32"/>
    <n v="2500000"/>
    <n v="1"/>
    <n v="1"/>
    <n v="2500000"/>
    <n v="1152000"/>
    <n v="3000000"/>
    <n v="0"/>
    <n v="6652000"/>
    <n v="6200000"/>
    <m/>
  </r>
  <r>
    <x v="6"/>
    <s v="수리과학부"/>
    <x v="20"/>
    <s v="2009-1학기"/>
    <n v="18"/>
    <n v="2500000"/>
    <n v="1"/>
    <n v="1"/>
    <n v="2500000"/>
    <n v="648000"/>
    <n v="7000000"/>
    <n v="0"/>
    <n v="10148000"/>
    <n v="10100000"/>
    <m/>
  </r>
  <r>
    <x v="6"/>
    <s v="생명과학부"/>
    <x v="21"/>
    <s v="2015-2학기"/>
    <n v="67"/>
    <n v="2500000"/>
    <n v="0.99"/>
    <n v="1"/>
    <n v="2500000"/>
    <n v="2412000"/>
    <n v="7000000"/>
    <n v="0"/>
    <n v="11912000"/>
    <n v="7300000"/>
    <m/>
  </r>
  <r>
    <x v="7"/>
    <s v="교육학과"/>
    <x v="22"/>
    <s v="2023-2학기"/>
    <n v="24"/>
    <n v="2500000"/>
    <n v="1"/>
    <n v="1"/>
    <n v="2500000"/>
    <n v="864000"/>
    <s v="미평가"/>
    <n v="2000000"/>
    <n v="5364000"/>
    <n v="195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AEBDE-17FD-4CC1-BCCC-53E72AA2B0BB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35" firstHeaderRow="1" firstDataRow="1" firstDataCol="1"/>
  <pivotFields count="15">
    <pivotField axis="axisRow" showAll="0">
      <items count="9">
        <item x="3"/>
        <item x="4"/>
        <item x="5"/>
        <item x="7"/>
        <item x="1"/>
        <item x="0"/>
        <item x="6"/>
        <item x="2"/>
        <item t="default"/>
      </items>
    </pivotField>
    <pivotField showAll="0"/>
    <pivotField axis="axisRow" dataField="1" showAll="0">
      <items count="24">
        <item x="3"/>
        <item x="11"/>
        <item x="21"/>
        <item x="9"/>
        <item x="16"/>
        <item x="20"/>
        <item x="5"/>
        <item x="17"/>
        <item x="0"/>
        <item x="13"/>
        <item x="12"/>
        <item x="4"/>
        <item x="10"/>
        <item x="14"/>
        <item x="19"/>
        <item x="8"/>
        <item x="6"/>
        <item x="15"/>
        <item x="18"/>
        <item x="2"/>
        <item x="1"/>
        <item x="7"/>
        <item x="22"/>
        <item t="default"/>
      </items>
    </pivotField>
    <pivotField showAll="0"/>
    <pivotField showAll="0"/>
    <pivotField numFmtId="41" showAll="0"/>
    <pivotField numFmtId="9" showAll="0"/>
    <pivotField numFmtId="9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showAll="0"/>
  </pivotFields>
  <rowFields count="2">
    <field x="0"/>
    <field x="2"/>
  </rowFields>
  <rowItems count="32">
    <i>
      <x/>
    </i>
    <i r="1">
      <x v="11"/>
    </i>
    <i>
      <x v="1"/>
    </i>
    <i r="1">
      <x v="6"/>
    </i>
    <i r="1">
      <x v="15"/>
    </i>
    <i r="1">
      <x v="16"/>
    </i>
    <i r="1">
      <x v="21"/>
    </i>
    <i>
      <x v="2"/>
    </i>
    <i r="1">
      <x v="12"/>
    </i>
    <i>
      <x v="3"/>
    </i>
    <i r="1">
      <x v="22"/>
    </i>
    <i>
      <x v="4"/>
    </i>
    <i r="1">
      <x v="4"/>
    </i>
    <i r="1">
      <x v="7"/>
    </i>
    <i r="1">
      <x v="19"/>
    </i>
    <i>
      <x v="5"/>
    </i>
    <i r="1">
      <x v="1"/>
    </i>
    <i r="1">
      <x v="8"/>
    </i>
    <i r="1">
      <x v="9"/>
    </i>
    <i r="1">
      <x v="13"/>
    </i>
    <i r="1">
      <x v="17"/>
    </i>
    <i r="1">
      <x v="20"/>
    </i>
    <i>
      <x v="6"/>
    </i>
    <i r="1">
      <x v="2"/>
    </i>
    <i r="1">
      <x v="5"/>
    </i>
    <i>
      <x v="7"/>
    </i>
    <i r="1">
      <x/>
    </i>
    <i r="1">
      <x v="3"/>
    </i>
    <i r="1">
      <x v="10"/>
    </i>
    <i r="1">
      <x v="14"/>
    </i>
    <i r="1">
      <x v="18"/>
    </i>
    <i t="grand">
      <x/>
    </i>
  </rowItems>
  <colItems count="1">
    <i/>
  </colItems>
  <dataFields count="1">
    <dataField name="개수 : 전공명칭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E1BF-AACD-4B36-8795-C47E225930AA}">
  <sheetPr>
    <tabColor rgb="FFFFC000"/>
    <pageSetUpPr fitToPage="1"/>
  </sheetPr>
  <dimension ref="A1:R44"/>
  <sheetViews>
    <sheetView showGridLines="0" tabSelected="1" view="pageBreakPreview" topLeftCell="A2" zoomScale="73" zoomScaleNormal="85" zoomScaleSheetLayoutView="73" workbookViewId="0">
      <selection activeCell="F20" sqref="F20"/>
    </sheetView>
  </sheetViews>
  <sheetFormatPr defaultColWidth="9" defaultRowHeight="0" customHeight="1" zeroHeight="1" x14ac:dyDescent="0.4"/>
  <cols>
    <col min="1" max="1" width="10.3984375" customWidth="1"/>
    <col min="2" max="2" width="17.796875" customWidth="1"/>
    <col min="3" max="3" width="24.09765625" customWidth="1"/>
    <col min="4" max="4" width="21" customWidth="1"/>
    <col min="5" max="5" width="12.3984375" customWidth="1"/>
    <col min="6" max="6" width="17" customWidth="1"/>
    <col min="7" max="7" width="16.8984375" customWidth="1"/>
    <col min="8" max="9" width="14.796875" customWidth="1"/>
    <col min="10" max="10" width="16.8984375" customWidth="1"/>
    <col min="11" max="12" width="16.19921875" customWidth="1"/>
    <col min="13" max="13" width="14.8984375" customWidth="1"/>
    <col min="14" max="14" width="21.19921875" customWidth="1"/>
    <col min="15" max="15" width="15.3984375" customWidth="1"/>
    <col min="16" max="16" width="11.296875" style="12" customWidth="1"/>
    <col min="17" max="17" width="9.765625E-2" hidden="1" customWidth="1"/>
    <col min="20" max="20" width="13.69921875" bestFit="1" customWidth="1"/>
    <col min="21" max="21" width="10" bestFit="1" customWidth="1"/>
  </cols>
  <sheetData>
    <row r="1" spans="1:18" ht="23.25" hidden="1" customHeight="1" x14ac:dyDescent="0.4">
      <c r="B1" s="164"/>
      <c r="C1" s="164"/>
      <c r="D1" s="164"/>
      <c r="E1" s="164"/>
      <c r="F1" s="16"/>
      <c r="G1" s="17"/>
      <c r="H1" s="17"/>
      <c r="I1" s="17"/>
      <c r="J1" s="17"/>
      <c r="K1" s="18">
        <v>50000</v>
      </c>
      <c r="L1" s="17"/>
      <c r="M1" s="17"/>
      <c r="N1" s="17"/>
      <c r="O1" s="17"/>
    </row>
    <row r="2" spans="1:18" ht="21.6" customHeight="1" x14ac:dyDescent="0.4">
      <c r="B2" s="16"/>
      <c r="C2" s="16"/>
      <c r="D2" s="16"/>
      <c r="E2" s="16"/>
      <c r="F2" s="16"/>
      <c r="G2" s="17"/>
      <c r="H2" s="17"/>
      <c r="I2" s="17"/>
      <c r="J2" s="17"/>
      <c r="K2" s="18"/>
      <c r="L2" s="17"/>
      <c r="M2" s="17"/>
      <c r="N2" s="17"/>
      <c r="O2" s="17"/>
    </row>
    <row r="3" spans="1:18" ht="32.4" customHeight="1" x14ac:dyDescent="0.4">
      <c r="A3" s="165" t="s">
        <v>224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18" ht="21.6" customHeight="1" thickBot="1" x14ac:dyDescent="0.4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 t="s">
        <v>30</v>
      </c>
    </row>
    <row r="5" spans="1:18" ht="56.25" customHeight="1" thickBot="1" x14ac:dyDescent="0.45">
      <c r="A5" s="21" t="s">
        <v>31</v>
      </c>
      <c r="B5" s="22" t="s">
        <v>32</v>
      </c>
      <c r="C5" s="22" t="s">
        <v>33</v>
      </c>
      <c r="D5" s="22" t="s">
        <v>34</v>
      </c>
      <c r="E5" s="23" t="s">
        <v>35</v>
      </c>
      <c r="F5" s="24" t="s">
        <v>36</v>
      </c>
      <c r="G5" s="25" t="s">
        <v>37</v>
      </c>
      <c r="H5" s="26" t="s">
        <v>38</v>
      </c>
      <c r="I5" s="27" t="s">
        <v>39</v>
      </c>
      <c r="J5" s="28" t="s">
        <v>40</v>
      </c>
      <c r="K5" s="28" t="s">
        <v>41</v>
      </c>
      <c r="L5" s="28" t="s">
        <v>42</v>
      </c>
      <c r="M5" s="29" t="s">
        <v>43</v>
      </c>
      <c r="N5" s="30" t="s">
        <v>44</v>
      </c>
      <c r="O5" s="31" t="s">
        <v>45</v>
      </c>
      <c r="P5" s="32" t="s">
        <v>8</v>
      </c>
    </row>
    <row r="6" spans="1:18" ht="28.5" customHeight="1" thickTop="1" x14ac:dyDescent="0.4">
      <c r="A6" s="166" t="s">
        <v>46</v>
      </c>
      <c r="B6" s="33" t="s">
        <v>47</v>
      </c>
      <c r="C6" s="33" t="s">
        <v>48</v>
      </c>
      <c r="D6" s="33" t="s">
        <v>49</v>
      </c>
      <c r="E6" s="34" t="s">
        <v>50</v>
      </c>
      <c r="F6" s="35">
        <v>10</v>
      </c>
      <c r="G6" s="36">
        <v>3500000</v>
      </c>
      <c r="H6" s="37">
        <v>1</v>
      </c>
      <c r="I6" s="38">
        <v>1</v>
      </c>
      <c r="J6" s="39">
        <f>G6*I6</f>
        <v>3500000</v>
      </c>
      <c r="K6" s="40">
        <f>F6*36000</f>
        <v>360000</v>
      </c>
      <c r="L6" s="40">
        <v>3000000</v>
      </c>
      <c r="M6" s="40">
        <v>0</v>
      </c>
      <c r="N6" s="41">
        <f>SUM(J6:M6)</f>
        <v>6860000</v>
      </c>
      <c r="O6" s="42">
        <v>3000000</v>
      </c>
      <c r="P6" s="43"/>
    </row>
    <row r="7" spans="1:18" ht="28.5" customHeight="1" x14ac:dyDescent="0.4">
      <c r="A7" s="166"/>
      <c r="B7" s="33" t="s">
        <v>0</v>
      </c>
      <c r="C7" s="33" t="s">
        <v>51</v>
      </c>
      <c r="D7" s="33" t="s">
        <v>52</v>
      </c>
      <c r="E7" s="34" t="s">
        <v>53</v>
      </c>
      <c r="F7" s="35">
        <v>137</v>
      </c>
      <c r="G7" s="36">
        <v>3500000</v>
      </c>
      <c r="H7" s="37">
        <v>0.99</v>
      </c>
      <c r="I7" s="38">
        <v>1</v>
      </c>
      <c r="J7" s="39">
        <f>G7*I7</f>
        <v>3500000</v>
      </c>
      <c r="K7" s="40">
        <f t="shared" ref="K7:K16" si="0">F7*36000</f>
        <v>4932000</v>
      </c>
      <c r="L7" s="161" t="s">
        <v>54</v>
      </c>
      <c r="M7" s="40">
        <v>0</v>
      </c>
      <c r="N7" s="41">
        <f>SUM(J7:M7)</f>
        <v>8432000</v>
      </c>
      <c r="O7" s="44">
        <v>7000000</v>
      </c>
      <c r="P7" s="43"/>
    </row>
    <row r="8" spans="1:18" ht="28.5" customHeight="1" x14ac:dyDescent="0.4">
      <c r="A8" s="167"/>
      <c r="B8" s="45" t="s">
        <v>55</v>
      </c>
      <c r="C8" s="45" t="s">
        <v>56</v>
      </c>
      <c r="D8" s="45" t="s">
        <v>57</v>
      </c>
      <c r="E8" s="46" t="s">
        <v>58</v>
      </c>
      <c r="F8" s="47">
        <v>141</v>
      </c>
      <c r="G8" s="36">
        <v>3500000</v>
      </c>
      <c r="H8" s="37">
        <v>0.99</v>
      </c>
      <c r="I8" s="38">
        <v>1</v>
      </c>
      <c r="J8" s="39">
        <f>G8*I8</f>
        <v>3500000</v>
      </c>
      <c r="K8" s="40">
        <f t="shared" si="0"/>
        <v>5076000</v>
      </c>
      <c r="L8" s="39">
        <v>7000000</v>
      </c>
      <c r="M8" s="39">
        <v>0</v>
      </c>
      <c r="N8" s="41">
        <f>SUM(J8:M8)</f>
        <v>15576000</v>
      </c>
      <c r="O8" s="48">
        <v>14700000</v>
      </c>
      <c r="P8" s="49"/>
      <c r="R8" s="50"/>
    </row>
    <row r="9" spans="1:18" ht="28.5" customHeight="1" x14ac:dyDescent="0.4">
      <c r="A9" s="167"/>
      <c r="B9" s="45" t="s">
        <v>59</v>
      </c>
      <c r="C9" s="45" t="s">
        <v>60</v>
      </c>
      <c r="D9" s="45" t="s">
        <v>61</v>
      </c>
      <c r="E9" s="46" t="s">
        <v>62</v>
      </c>
      <c r="F9" s="47">
        <v>32</v>
      </c>
      <c r="G9" s="36">
        <v>3500000</v>
      </c>
      <c r="H9" s="37">
        <v>0.99</v>
      </c>
      <c r="I9" s="38">
        <v>1</v>
      </c>
      <c r="J9" s="39">
        <f t="shared" ref="J9:J16" si="1">G9*I9</f>
        <v>3500000</v>
      </c>
      <c r="K9" s="40">
        <f t="shared" si="0"/>
        <v>1152000</v>
      </c>
      <c r="L9" s="39">
        <v>3000000</v>
      </c>
      <c r="M9" s="39">
        <v>0</v>
      </c>
      <c r="N9" s="41">
        <f t="shared" ref="N9:N16" si="2">SUM(J9:M9)</f>
        <v>7652000</v>
      </c>
      <c r="O9" s="48">
        <v>4250000</v>
      </c>
      <c r="P9" s="49"/>
      <c r="R9" s="50"/>
    </row>
    <row r="10" spans="1:18" ht="28.5" customHeight="1" x14ac:dyDescent="0.4">
      <c r="A10" s="167"/>
      <c r="B10" s="45" t="s">
        <v>15</v>
      </c>
      <c r="C10" s="45" t="s">
        <v>63</v>
      </c>
      <c r="D10" s="45" t="s">
        <v>64</v>
      </c>
      <c r="E10" s="46" t="s">
        <v>65</v>
      </c>
      <c r="F10" s="47">
        <v>122</v>
      </c>
      <c r="G10" s="36">
        <v>3500000</v>
      </c>
      <c r="H10" s="37">
        <v>1</v>
      </c>
      <c r="I10" s="38">
        <v>1</v>
      </c>
      <c r="J10" s="39">
        <f t="shared" si="1"/>
        <v>3500000</v>
      </c>
      <c r="K10" s="40">
        <f t="shared" si="0"/>
        <v>4392000</v>
      </c>
      <c r="L10" s="39">
        <v>7000000</v>
      </c>
      <c r="M10" s="39">
        <v>0</v>
      </c>
      <c r="N10" s="41">
        <f t="shared" si="2"/>
        <v>14892000</v>
      </c>
      <c r="O10" s="48">
        <v>14190000</v>
      </c>
      <c r="P10" s="49"/>
      <c r="R10" s="50"/>
    </row>
    <row r="11" spans="1:18" ht="28.5" customHeight="1" x14ac:dyDescent="0.4">
      <c r="A11" s="167"/>
      <c r="B11" s="45" t="s">
        <v>66</v>
      </c>
      <c r="C11" s="45" t="s">
        <v>67</v>
      </c>
      <c r="D11" s="45" t="s">
        <v>68</v>
      </c>
      <c r="E11" s="46" t="s">
        <v>58</v>
      </c>
      <c r="F11" s="47">
        <v>165</v>
      </c>
      <c r="G11" s="36">
        <v>3500000</v>
      </c>
      <c r="H11" s="37">
        <v>1</v>
      </c>
      <c r="I11" s="38">
        <v>1</v>
      </c>
      <c r="J11" s="39">
        <f t="shared" si="1"/>
        <v>3500000</v>
      </c>
      <c r="K11" s="40">
        <f t="shared" si="0"/>
        <v>5940000</v>
      </c>
      <c r="L11" s="39">
        <v>3000000</v>
      </c>
      <c r="M11" s="39">
        <v>0</v>
      </c>
      <c r="N11" s="41">
        <f t="shared" si="2"/>
        <v>12440000</v>
      </c>
      <c r="O11" s="51">
        <v>7940000</v>
      </c>
      <c r="P11" s="52"/>
      <c r="R11" s="50"/>
    </row>
    <row r="12" spans="1:18" ht="28.5" customHeight="1" x14ac:dyDescent="0.4">
      <c r="A12" s="167"/>
      <c r="B12" s="53" t="s">
        <v>66</v>
      </c>
      <c r="C12" s="53" t="s">
        <v>69</v>
      </c>
      <c r="D12" s="53" t="s">
        <v>70</v>
      </c>
      <c r="E12" s="54" t="s">
        <v>71</v>
      </c>
      <c r="F12" s="47">
        <v>207</v>
      </c>
      <c r="G12" s="36">
        <v>3500000</v>
      </c>
      <c r="H12" s="37">
        <v>0.6</v>
      </c>
      <c r="I12" s="38">
        <v>0.7</v>
      </c>
      <c r="J12" s="39">
        <f t="shared" si="1"/>
        <v>2450000</v>
      </c>
      <c r="K12" s="40">
        <f t="shared" si="0"/>
        <v>7452000</v>
      </c>
      <c r="L12" s="39">
        <v>0</v>
      </c>
      <c r="M12" s="55">
        <v>0</v>
      </c>
      <c r="N12" s="41">
        <f t="shared" si="2"/>
        <v>9902000</v>
      </c>
      <c r="O12" s="48">
        <v>6840000</v>
      </c>
      <c r="P12" s="56"/>
      <c r="R12" s="50"/>
    </row>
    <row r="13" spans="1:18" ht="28.5" customHeight="1" x14ac:dyDescent="0.4">
      <c r="A13" s="167"/>
      <c r="B13" s="53" t="s">
        <v>66</v>
      </c>
      <c r="C13" s="53" t="s">
        <v>69</v>
      </c>
      <c r="D13" s="53" t="s">
        <v>72</v>
      </c>
      <c r="E13" s="54" t="s">
        <v>73</v>
      </c>
      <c r="F13" s="47">
        <v>56</v>
      </c>
      <c r="G13" s="36">
        <v>3500000</v>
      </c>
      <c r="H13" s="37">
        <v>0.99</v>
      </c>
      <c r="I13" s="38">
        <v>1</v>
      </c>
      <c r="J13" s="39">
        <f>G13*I13</f>
        <v>3500000</v>
      </c>
      <c r="K13" s="40">
        <f t="shared" si="0"/>
        <v>2016000</v>
      </c>
      <c r="L13" s="39">
        <v>3000000</v>
      </c>
      <c r="M13" s="55">
        <v>0</v>
      </c>
      <c r="N13" s="41">
        <f t="shared" si="2"/>
        <v>8516000</v>
      </c>
      <c r="O13" s="48">
        <v>1520000</v>
      </c>
      <c r="P13" s="56"/>
      <c r="R13" s="50"/>
    </row>
    <row r="14" spans="1:18" ht="28.5" customHeight="1" x14ac:dyDescent="0.4">
      <c r="A14" s="167"/>
      <c r="B14" s="53" t="s">
        <v>66</v>
      </c>
      <c r="C14" s="57" t="s">
        <v>74</v>
      </c>
      <c r="D14" s="53" t="s">
        <v>75</v>
      </c>
      <c r="E14" s="54" t="s">
        <v>76</v>
      </c>
      <c r="F14" s="47">
        <v>263</v>
      </c>
      <c r="G14" s="36">
        <v>3500000</v>
      </c>
      <c r="H14" s="37">
        <v>0.85</v>
      </c>
      <c r="I14" s="38">
        <v>0.9</v>
      </c>
      <c r="J14" s="39">
        <f>G14*I14</f>
        <v>3150000</v>
      </c>
      <c r="K14" s="40">
        <f t="shared" si="0"/>
        <v>9468000</v>
      </c>
      <c r="L14" s="39">
        <v>3000000</v>
      </c>
      <c r="M14" s="55">
        <v>0</v>
      </c>
      <c r="N14" s="41">
        <f t="shared" si="2"/>
        <v>15618000</v>
      </c>
      <c r="O14" s="48">
        <v>9320000</v>
      </c>
      <c r="P14" s="56"/>
      <c r="R14" s="50"/>
    </row>
    <row r="15" spans="1:18" ht="28.5" customHeight="1" x14ac:dyDescent="0.4">
      <c r="A15" s="167"/>
      <c r="B15" s="45" t="s">
        <v>59</v>
      </c>
      <c r="C15" s="45" t="s">
        <v>60</v>
      </c>
      <c r="D15" s="45" t="s">
        <v>77</v>
      </c>
      <c r="E15" s="46" t="s">
        <v>78</v>
      </c>
      <c r="F15" s="47">
        <v>98</v>
      </c>
      <c r="G15" s="36">
        <v>3500000</v>
      </c>
      <c r="H15" s="37">
        <v>1</v>
      </c>
      <c r="I15" s="38">
        <v>1</v>
      </c>
      <c r="J15" s="39">
        <f t="shared" si="1"/>
        <v>3500000</v>
      </c>
      <c r="K15" s="40">
        <f t="shared" si="0"/>
        <v>3528000</v>
      </c>
      <c r="L15" s="39">
        <v>7000000</v>
      </c>
      <c r="M15" s="39">
        <v>0</v>
      </c>
      <c r="N15" s="41">
        <f t="shared" si="2"/>
        <v>14028000</v>
      </c>
      <c r="O15" s="48">
        <v>9680000</v>
      </c>
      <c r="P15" s="49"/>
      <c r="R15" s="50"/>
    </row>
    <row r="16" spans="1:18" ht="28.5" customHeight="1" x14ac:dyDescent="0.4">
      <c r="A16" s="167"/>
      <c r="B16" s="45" t="s">
        <v>79</v>
      </c>
      <c r="C16" s="45" t="s">
        <v>80</v>
      </c>
      <c r="D16" s="45" t="s">
        <v>81</v>
      </c>
      <c r="E16" s="46" t="s">
        <v>82</v>
      </c>
      <c r="F16" s="47">
        <v>36</v>
      </c>
      <c r="G16" s="36">
        <v>3500000</v>
      </c>
      <c r="H16" s="37">
        <v>1</v>
      </c>
      <c r="I16" s="38">
        <v>1</v>
      </c>
      <c r="J16" s="39">
        <f t="shared" si="1"/>
        <v>3500000</v>
      </c>
      <c r="K16" s="40">
        <f t="shared" si="0"/>
        <v>1296000</v>
      </c>
      <c r="L16" s="39">
        <v>3000000</v>
      </c>
      <c r="M16" s="39">
        <v>0</v>
      </c>
      <c r="N16" s="41">
        <f t="shared" si="2"/>
        <v>7796000</v>
      </c>
      <c r="O16" s="48">
        <v>8180000</v>
      </c>
      <c r="P16" s="49"/>
      <c r="R16" s="50"/>
    </row>
    <row r="17" spans="1:18" ht="28.5" customHeight="1" x14ac:dyDescent="0.4">
      <c r="A17" s="168" t="s">
        <v>83</v>
      </c>
      <c r="B17" s="169"/>
      <c r="C17" s="169"/>
      <c r="D17" s="169"/>
      <c r="E17" s="169"/>
      <c r="F17" s="58" t="str">
        <f>SUM(F6:F16)&amp;"명"</f>
        <v>1267명</v>
      </c>
      <c r="G17" s="59">
        <f>SUM(G6:G16)</f>
        <v>38500000</v>
      </c>
      <c r="H17" s="60"/>
      <c r="I17" s="61"/>
      <c r="J17" s="62">
        <f t="shared" ref="J17:O17" si="3">SUM(J6:J16)</f>
        <v>37100000</v>
      </c>
      <c r="K17" s="62">
        <f>SUM(K6:K16)</f>
        <v>45612000</v>
      </c>
      <c r="L17" s="62">
        <f t="shared" si="3"/>
        <v>39000000</v>
      </c>
      <c r="M17" s="62">
        <f t="shared" si="3"/>
        <v>0</v>
      </c>
      <c r="N17" s="62">
        <f t="shared" si="3"/>
        <v>121712000</v>
      </c>
      <c r="O17" s="63">
        <f t="shared" si="3"/>
        <v>86620000</v>
      </c>
      <c r="P17" s="64"/>
      <c r="R17" s="50"/>
    </row>
    <row r="18" spans="1:18" ht="28.5" customHeight="1" x14ac:dyDescent="0.4">
      <c r="A18" s="170" t="s">
        <v>84</v>
      </c>
      <c r="B18" s="45" t="s">
        <v>47</v>
      </c>
      <c r="C18" s="45" t="s">
        <v>85</v>
      </c>
      <c r="D18" s="45" t="s">
        <v>86</v>
      </c>
      <c r="E18" s="45" t="s">
        <v>50</v>
      </c>
      <c r="F18" s="47">
        <v>17</v>
      </c>
      <c r="G18" s="36">
        <v>2500000</v>
      </c>
      <c r="H18" s="37">
        <v>0.99</v>
      </c>
      <c r="I18" s="38">
        <v>1</v>
      </c>
      <c r="J18" s="39">
        <f>G18*I18</f>
        <v>2500000</v>
      </c>
      <c r="K18" s="39">
        <f>F18*36000</f>
        <v>612000</v>
      </c>
      <c r="L18" s="39">
        <v>3000000</v>
      </c>
      <c r="M18" s="39">
        <v>0</v>
      </c>
      <c r="N18" s="41">
        <f>SUM(J18:M18)</f>
        <v>6112000</v>
      </c>
      <c r="O18" s="44">
        <v>4000000</v>
      </c>
      <c r="P18" s="49"/>
      <c r="R18" s="50"/>
    </row>
    <row r="19" spans="1:18" ht="28.5" customHeight="1" x14ac:dyDescent="0.4">
      <c r="A19" s="171"/>
      <c r="B19" s="45" t="s">
        <v>59</v>
      </c>
      <c r="C19" s="45" t="s">
        <v>60</v>
      </c>
      <c r="D19" s="45" t="s">
        <v>87</v>
      </c>
      <c r="E19" s="45" t="s">
        <v>88</v>
      </c>
      <c r="F19" s="47">
        <v>10</v>
      </c>
      <c r="G19" s="36">
        <v>2500000</v>
      </c>
      <c r="H19" s="65">
        <v>0.9</v>
      </c>
      <c r="I19" s="66">
        <v>1</v>
      </c>
      <c r="J19" s="39">
        <f>G19*I19</f>
        <v>2500000</v>
      </c>
      <c r="K19" s="39">
        <f t="shared" ref="K19:K29" si="4">F19*36000</f>
        <v>360000</v>
      </c>
      <c r="L19" s="39">
        <v>3000000</v>
      </c>
      <c r="M19" s="39">
        <v>0</v>
      </c>
      <c r="N19" s="41">
        <f>SUM(J19:M19)</f>
        <v>5860000</v>
      </c>
      <c r="O19" s="51">
        <v>4710000</v>
      </c>
      <c r="P19" s="52"/>
      <c r="R19" s="50"/>
    </row>
    <row r="20" spans="1:18" ht="28.5" customHeight="1" x14ac:dyDescent="0.4">
      <c r="A20" s="171"/>
      <c r="B20" s="45" t="s">
        <v>47</v>
      </c>
      <c r="C20" s="45" t="s">
        <v>89</v>
      </c>
      <c r="D20" s="45" t="s">
        <v>90</v>
      </c>
      <c r="E20" s="45" t="s">
        <v>91</v>
      </c>
      <c r="F20" s="47">
        <v>19</v>
      </c>
      <c r="G20" s="36">
        <v>2500000</v>
      </c>
      <c r="H20" s="65">
        <v>1</v>
      </c>
      <c r="I20" s="66">
        <v>1</v>
      </c>
      <c r="J20" s="39">
        <f t="shared" ref="J20:J28" si="5">G20*I20</f>
        <v>2500000</v>
      </c>
      <c r="K20" s="39">
        <f t="shared" si="4"/>
        <v>684000</v>
      </c>
      <c r="L20" s="39">
        <v>3000000</v>
      </c>
      <c r="M20" s="39">
        <v>0</v>
      </c>
      <c r="N20" s="41">
        <f>SUM(J20:M20)</f>
        <v>6184000</v>
      </c>
      <c r="O20" s="48">
        <v>9850000</v>
      </c>
      <c r="P20" s="49"/>
      <c r="R20" s="50"/>
    </row>
    <row r="21" spans="1:18" ht="28.5" customHeight="1" x14ac:dyDescent="0.4">
      <c r="A21" s="171"/>
      <c r="B21" s="45" t="s">
        <v>47</v>
      </c>
      <c r="C21" s="45" t="s">
        <v>89</v>
      </c>
      <c r="D21" s="45" t="s">
        <v>92</v>
      </c>
      <c r="E21" s="45" t="s">
        <v>93</v>
      </c>
      <c r="F21" s="47">
        <v>15</v>
      </c>
      <c r="G21" s="36">
        <v>2500000</v>
      </c>
      <c r="H21" s="65">
        <v>1</v>
      </c>
      <c r="I21" s="66">
        <v>1</v>
      </c>
      <c r="J21" s="39">
        <f t="shared" si="5"/>
        <v>2500000</v>
      </c>
      <c r="K21" s="39">
        <f t="shared" si="4"/>
        <v>540000</v>
      </c>
      <c r="L21" s="161" t="s">
        <v>54</v>
      </c>
      <c r="M21" s="39">
        <v>2000000</v>
      </c>
      <c r="N21" s="41">
        <f>SUM(J21:M21)</f>
        <v>5040000</v>
      </c>
      <c r="O21" s="48">
        <v>0</v>
      </c>
      <c r="P21" s="49"/>
      <c r="R21" s="50"/>
    </row>
    <row r="22" spans="1:18" ht="28.5" customHeight="1" x14ac:dyDescent="0.4">
      <c r="A22" s="171"/>
      <c r="B22" s="45" t="s">
        <v>47</v>
      </c>
      <c r="C22" s="45" t="s">
        <v>94</v>
      </c>
      <c r="D22" s="45" t="s">
        <v>95</v>
      </c>
      <c r="E22" s="45" t="s">
        <v>50</v>
      </c>
      <c r="F22" s="47">
        <v>43</v>
      </c>
      <c r="G22" s="36">
        <v>2500000</v>
      </c>
      <c r="H22" s="65">
        <v>0.75</v>
      </c>
      <c r="I22" s="66">
        <v>0.8</v>
      </c>
      <c r="J22" s="39">
        <f t="shared" si="5"/>
        <v>2000000</v>
      </c>
      <c r="K22" s="39">
        <f t="shared" si="4"/>
        <v>1548000</v>
      </c>
      <c r="L22" s="39">
        <v>7000000</v>
      </c>
      <c r="M22" s="39">
        <v>0</v>
      </c>
      <c r="N22" s="41">
        <f>SUM(J22:M22)</f>
        <v>10548000</v>
      </c>
      <c r="O22" s="44">
        <v>6000000</v>
      </c>
      <c r="P22" s="49"/>
      <c r="R22" s="50"/>
    </row>
    <row r="23" spans="1:18" ht="28.5" customHeight="1" x14ac:dyDescent="0.4">
      <c r="A23" s="171"/>
      <c r="B23" s="45" t="s">
        <v>55</v>
      </c>
      <c r="C23" s="45" t="s">
        <v>96</v>
      </c>
      <c r="D23" s="45" t="s">
        <v>97</v>
      </c>
      <c r="E23" s="45" t="s">
        <v>98</v>
      </c>
      <c r="F23" s="47">
        <v>243</v>
      </c>
      <c r="G23" s="36">
        <v>2500000</v>
      </c>
      <c r="H23" s="37">
        <v>1</v>
      </c>
      <c r="I23" s="38">
        <v>1</v>
      </c>
      <c r="J23" s="39">
        <f t="shared" si="5"/>
        <v>2500000</v>
      </c>
      <c r="K23" s="39">
        <f t="shared" si="4"/>
        <v>8748000</v>
      </c>
      <c r="L23" s="39">
        <v>7000000</v>
      </c>
      <c r="M23" s="39">
        <v>0</v>
      </c>
      <c r="N23" s="41">
        <f t="shared" ref="N23:N29" si="6">SUM(J23:M23)</f>
        <v>18248000</v>
      </c>
      <c r="O23" s="48">
        <v>12910000</v>
      </c>
      <c r="P23" s="49"/>
      <c r="R23" s="50"/>
    </row>
    <row r="24" spans="1:18" ht="28.5" customHeight="1" x14ac:dyDescent="0.4">
      <c r="A24" s="171"/>
      <c r="B24" s="45" t="s">
        <v>55</v>
      </c>
      <c r="C24" s="45" t="s">
        <v>99</v>
      </c>
      <c r="D24" s="45" t="s">
        <v>100</v>
      </c>
      <c r="E24" s="45" t="s">
        <v>82</v>
      </c>
      <c r="F24" s="47">
        <v>73</v>
      </c>
      <c r="G24" s="36">
        <v>2500000</v>
      </c>
      <c r="H24" s="37">
        <v>1</v>
      </c>
      <c r="I24" s="38">
        <v>1</v>
      </c>
      <c r="J24" s="39">
        <f>G24*I24</f>
        <v>2500000</v>
      </c>
      <c r="K24" s="39">
        <f t="shared" si="4"/>
        <v>2628000</v>
      </c>
      <c r="L24" s="39">
        <v>7000000</v>
      </c>
      <c r="M24" s="39">
        <v>0</v>
      </c>
      <c r="N24" s="41">
        <f t="shared" si="6"/>
        <v>12128000</v>
      </c>
      <c r="O24" s="48">
        <v>9330000</v>
      </c>
      <c r="P24" s="49"/>
      <c r="R24" s="50"/>
    </row>
    <row r="25" spans="1:18" ht="28.5" customHeight="1" x14ac:dyDescent="0.4">
      <c r="A25" s="171"/>
      <c r="B25" s="45" t="s">
        <v>59</v>
      </c>
      <c r="C25" s="45" t="s">
        <v>60</v>
      </c>
      <c r="D25" s="53" t="s">
        <v>101</v>
      </c>
      <c r="E25" s="53" t="s">
        <v>71</v>
      </c>
      <c r="F25" s="47">
        <v>19</v>
      </c>
      <c r="G25" s="36">
        <v>2500000</v>
      </c>
      <c r="H25" s="37">
        <v>1</v>
      </c>
      <c r="I25" s="38">
        <v>1</v>
      </c>
      <c r="J25" s="39">
        <f t="shared" ref="J25:J26" si="7">G25*I25</f>
        <v>2500000</v>
      </c>
      <c r="K25" s="39">
        <f t="shared" si="4"/>
        <v>684000</v>
      </c>
      <c r="L25" s="39">
        <v>3000000</v>
      </c>
      <c r="M25" s="55">
        <v>0</v>
      </c>
      <c r="N25" s="41">
        <f>SUM(J25:M25)</f>
        <v>6184000</v>
      </c>
      <c r="O25" s="48">
        <v>2830000</v>
      </c>
      <c r="P25" s="67"/>
      <c r="R25" s="50"/>
    </row>
    <row r="26" spans="1:18" ht="28.5" customHeight="1" x14ac:dyDescent="0.4">
      <c r="A26" s="171"/>
      <c r="B26" s="45" t="s">
        <v>59</v>
      </c>
      <c r="C26" s="45" t="s">
        <v>60</v>
      </c>
      <c r="D26" s="45" t="s">
        <v>102</v>
      </c>
      <c r="E26" s="45" t="s">
        <v>82</v>
      </c>
      <c r="F26" s="47">
        <v>32</v>
      </c>
      <c r="G26" s="36">
        <v>2500000</v>
      </c>
      <c r="H26" s="37">
        <v>1</v>
      </c>
      <c r="I26" s="38">
        <v>1</v>
      </c>
      <c r="J26" s="39">
        <f t="shared" si="7"/>
        <v>2500000</v>
      </c>
      <c r="K26" s="39">
        <f t="shared" si="4"/>
        <v>1152000</v>
      </c>
      <c r="L26" s="39">
        <v>3000000</v>
      </c>
      <c r="M26" s="39">
        <v>0</v>
      </c>
      <c r="N26" s="41">
        <f>SUM(J26:M26)</f>
        <v>6652000</v>
      </c>
      <c r="O26" s="48">
        <v>6200000</v>
      </c>
      <c r="P26" s="49"/>
      <c r="R26" s="50"/>
    </row>
    <row r="27" spans="1:18" ht="28.5" customHeight="1" x14ac:dyDescent="0.4">
      <c r="A27" s="171"/>
      <c r="B27" s="53" t="s">
        <v>103</v>
      </c>
      <c r="C27" s="53" t="s">
        <v>104</v>
      </c>
      <c r="D27" s="53" t="s">
        <v>105</v>
      </c>
      <c r="E27" s="53" t="s">
        <v>98</v>
      </c>
      <c r="F27" s="47">
        <v>18</v>
      </c>
      <c r="G27" s="36">
        <v>2500000</v>
      </c>
      <c r="H27" s="37">
        <v>1</v>
      </c>
      <c r="I27" s="38">
        <v>1</v>
      </c>
      <c r="J27" s="39">
        <f t="shared" si="5"/>
        <v>2500000</v>
      </c>
      <c r="K27" s="39">
        <f t="shared" si="4"/>
        <v>648000</v>
      </c>
      <c r="L27" s="39">
        <v>7000000</v>
      </c>
      <c r="M27" s="55">
        <v>0</v>
      </c>
      <c r="N27" s="41">
        <f t="shared" si="6"/>
        <v>10148000</v>
      </c>
      <c r="O27" s="48">
        <v>10100000</v>
      </c>
      <c r="P27" s="67"/>
      <c r="R27" s="50"/>
    </row>
    <row r="28" spans="1:18" ht="28.5" customHeight="1" x14ac:dyDescent="0.4">
      <c r="A28" s="171"/>
      <c r="B28" s="45" t="s">
        <v>103</v>
      </c>
      <c r="C28" s="45" t="s">
        <v>106</v>
      </c>
      <c r="D28" s="45" t="s">
        <v>107</v>
      </c>
      <c r="E28" s="45" t="s">
        <v>108</v>
      </c>
      <c r="F28" s="47">
        <v>67</v>
      </c>
      <c r="G28" s="36">
        <v>2500000</v>
      </c>
      <c r="H28" s="37">
        <v>0.99</v>
      </c>
      <c r="I28" s="38">
        <v>1</v>
      </c>
      <c r="J28" s="39">
        <f t="shared" si="5"/>
        <v>2500000</v>
      </c>
      <c r="K28" s="39">
        <f t="shared" si="4"/>
        <v>2412000</v>
      </c>
      <c r="L28" s="39">
        <v>7000000</v>
      </c>
      <c r="M28" s="39">
        <v>0</v>
      </c>
      <c r="N28" s="41">
        <f>SUM(J28:M28)</f>
        <v>11912000</v>
      </c>
      <c r="O28" s="48">
        <v>7300000</v>
      </c>
      <c r="P28" s="68"/>
      <c r="R28" s="50"/>
    </row>
    <row r="29" spans="1:18" ht="28.5" customHeight="1" x14ac:dyDescent="0.4">
      <c r="A29" s="166"/>
      <c r="B29" s="45" t="s">
        <v>109</v>
      </c>
      <c r="C29" s="45" t="s">
        <v>110</v>
      </c>
      <c r="D29" s="45" t="s">
        <v>111</v>
      </c>
      <c r="E29" s="45" t="s">
        <v>112</v>
      </c>
      <c r="F29" s="69">
        <v>24</v>
      </c>
      <c r="G29" s="36">
        <v>2500000</v>
      </c>
      <c r="H29" s="37">
        <v>1</v>
      </c>
      <c r="I29" s="70">
        <v>1</v>
      </c>
      <c r="J29" s="39">
        <f>G29*I29</f>
        <v>2500000</v>
      </c>
      <c r="K29" s="39">
        <f t="shared" si="4"/>
        <v>864000</v>
      </c>
      <c r="L29" s="161" t="s">
        <v>54</v>
      </c>
      <c r="M29" s="39">
        <v>2000000</v>
      </c>
      <c r="N29" s="41">
        <f t="shared" si="6"/>
        <v>5364000</v>
      </c>
      <c r="O29" s="71">
        <v>1950000</v>
      </c>
      <c r="P29" s="68"/>
      <c r="R29" s="50"/>
    </row>
    <row r="30" spans="1:18" ht="29.25" customHeight="1" x14ac:dyDescent="0.4">
      <c r="A30" s="168" t="s">
        <v>113</v>
      </c>
      <c r="B30" s="169"/>
      <c r="C30" s="169"/>
      <c r="D30" s="169"/>
      <c r="E30" s="169"/>
      <c r="F30" s="72" t="str">
        <f>SUM(F18:F29)&amp;"명"</f>
        <v>580명</v>
      </c>
      <c r="G30" s="59">
        <f>SUM(G18:G29)</f>
        <v>30000000</v>
      </c>
      <c r="H30" s="73"/>
      <c r="I30" s="74"/>
      <c r="J30" s="59">
        <f t="shared" ref="J30:O30" si="8">SUM(J18:J29)</f>
        <v>29500000</v>
      </c>
      <c r="K30" s="59">
        <f t="shared" si="8"/>
        <v>20880000</v>
      </c>
      <c r="L30" s="59">
        <f t="shared" si="8"/>
        <v>50000000</v>
      </c>
      <c r="M30" s="59">
        <f t="shared" si="8"/>
        <v>4000000</v>
      </c>
      <c r="N30" s="59">
        <f t="shared" si="8"/>
        <v>104380000</v>
      </c>
      <c r="O30" s="59">
        <f t="shared" si="8"/>
        <v>75180000</v>
      </c>
      <c r="P30" s="75"/>
      <c r="R30" s="50"/>
    </row>
    <row r="31" spans="1:18" ht="40.65" customHeight="1" thickBot="1" x14ac:dyDescent="0.45">
      <c r="A31" s="162" t="s">
        <v>114</v>
      </c>
      <c r="B31" s="163"/>
      <c r="C31" s="163"/>
      <c r="D31" s="163"/>
      <c r="E31" s="163"/>
      <c r="F31" s="76" t="str">
        <f>(SUM(F6:F16)+SUM(F18:F29))&amp;"명"</f>
        <v>1847명</v>
      </c>
      <c r="G31" s="77">
        <f>G17+G30</f>
        <v>68500000</v>
      </c>
      <c r="H31" s="78"/>
      <c r="I31" s="79"/>
      <c r="J31" s="80">
        <f t="shared" ref="J31:O31" si="9">J17+J30</f>
        <v>66600000</v>
      </c>
      <c r="K31" s="80">
        <f t="shared" si="9"/>
        <v>66492000</v>
      </c>
      <c r="L31" s="80">
        <f t="shared" si="9"/>
        <v>89000000</v>
      </c>
      <c r="M31" s="80">
        <f t="shared" si="9"/>
        <v>4000000</v>
      </c>
      <c r="N31" s="81">
        <f t="shared" si="9"/>
        <v>226092000</v>
      </c>
      <c r="O31" s="82">
        <f t="shared" si="9"/>
        <v>161800000</v>
      </c>
      <c r="P31" s="83"/>
      <c r="R31" s="50"/>
    </row>
    <row r="32" spans="1:18" ht="28.5" customHeight="1" x14ac:dyDescent="0.4">
      <c r="G32" s="84"/>
      <c r="H32" s="84"/>
      <c r="I32" s="84"/>
      <c r="J32" s="84"/>
      <c r="K32" s="84"/>
      <c r="L32" s="84"/>
      <c r="M32" s="84"/>
      <c r="N32" s="84"/>
      <c r="O32" s="84"/>
    </row>
    <row r="33" ht="16.5" customHeight="1" x14ac:dyDescent="0.4"/>
    <row r="34" ht="16.5" customHeight="1" x14ac:dyDescent="0.4"/>
    <row r="35" ht="16.5" customHeight="1" x14ac:dyDescent="0.4"/>
    <row r="36" ht="16.5" customHeight="1" x14ac:dyDescent="0.4"/>
    <row r="37" ht="16.5" customHeight="1" x14ac:dyDescent="0.4"/>
    <row r="38" ht="16.5" customHeight="1" x14ac:dyDescent="0.4"/>
    <row r="39" ht="16.5" customHeight="1" x14ac:dyDescent="0.4"/>
    <row r="40" ht="16.5" customHeight="1" x14ac:dyDescent="0.4"/>
    <row r="41" ht="16.5" customHeight="1" x14ac:dyDescent="0.4"/>
    <row r="42" ht="16.5" customHeight="1" x14ac:dyDescent="0.4"/>
    <row r="43" ht="16.5" customHeight="1" x14ac:dyDescent="0.4"/>
    <row r="44" ht="16.5" customHeight="1" x14ac:dyDescent="0.4"/>
  </sheetData>
  <mergeCells count="7">
    <mergeCell ref="A31:E31"/>
    <mergeCell ref="B1:E1"/>
    <mergeCell ref="A3:P3"/>
    <mergeCell ref="A6:A16"/>
    <mergeCell ref="A17:E17"/>
    <mergeCell ref="A18:A29"/>
    <mergeCell ref="A30:E30"/>
  </mergeCells>
  <phoneticPr fontId="2" type="noConversion"/>
  <pageMargins left="0.25" right="0.25" top="0.75" bottom="0.75" header="0.3" footer="0.3"/>
  <pageSetup paperSize="9"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0707-2FAC-40CC-9C12-4FED80AC4142}">
  <sheetPr>
    <tabColor rgb="FFFFC000"/>
    <pageSetUpPr fitToPage="1"/>
  </sheetPr>
  <dimension ref="B2:P46"/>
  <sheetViews>
    <sheetView zoomScale="79" zoomScaleNormal="79" workbookViewId="0">
      <selection activeCell="H24" sqref="H24"/>
    </sheetView>
  </sheetViews>
  <sheetFormatPr defaultRowHeight="17.399999999999999" x14ac:dyDescent="0.4"/>
  <cols>
    <col min="1" max="1" width="3.19921875" customWidth="1"/>
    <col min="2" max="2" width="7.5" style="12" customWidth="1"/>
    <col min="3" max="3" width="22.796875" style="12" customWidth="1"/>
    <col min="4" max="4" width="17.296875" style="12" customWidth="1"/>
    <col min="5" max="5" width="18.19921875" style="12" customWidth="1"/>
    <col min="6" max="6" width="19.296875" style="85" customWidth="1"/>
    <col min="7" max="7" width="16.8984375" style="12" customWidth="1"/>
    <col min="8" max="9" width="20.796875" customWidth="1"/>
    <col min="10" max="10" width="25.09765625" customWidth="1"/>
    <col min="11" max="11" width="12.796875" customWidth="1"/>
    <col min="12" max="12" width="10" bestFit="1" customWidth="1"/>
    <col min="14" max="14" width="11.59765625" bestFit="1" customWidth="1"/>
    <col min="15" max="15" width="15" bestFit="1" customWidth="1"/>
    <col min="16" max="16" width="18.3984375" style="12" customWidth="1"/>
  </cols>
  <sheetData>
    <row r="2" spans="2:16" ht="32.4" customHeight="1" x14ac:dyDescent="0.4">
      <c r="B2" s="165" t="s">
        <v>225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</row>
    <row r="3" spans="2:16" ht="18" thickBot="1" x14ac:dyDescent="0.45"/>
    <row r="4" spans="2:16" ht="33.6" customHeight="1" thickBot="1" x14ac:dyDescent="0.45">
      <c r="B4" s="181" t="s">
        <v>223</v>
      </c>
      <c r="C4" s="182"/>
      <c r="D4" s="182"/>
      <c r="E4" s="182"/>
      <c r="F4" s="182"/>
      <c r="G4" s="182"/>
      <c r="H4" s="182"/>
      <c r="I4" s="182"/>
      <c r="J4" s="182"/>
      <c r="K4" s="183"/>
      <c r="L4" s="181" t="s">
        <v>115</v>
      </c>
      <c r="M4" s="182"/>
      <c r="N4" s="182"/>
      <c r="O4" s="182"/>
      <c r="P4" s="183"/>
    </row>
    <row r="5" spans="2:16" ht="35.4" thickBot="1" x14ac:dyDescent="0.45">
      <c r="B5" s="86" t="s">
        <v>116</v>
      </c>
      <c r="C5" s="87" t="s">
        <v>117</v>
      </c>
      <c r="D5" s="87" t="s">
        <v>33</v>
      </c>
      <c r="E5" s="87" t="s">
        <v>31</v>
      </c>
      <c r="F5" s="87" t="s">
        <v>34</v>
      </c>
      <c r="G5" s="88" t="s">
        <v>118</v>
      </c>
      <c r="H5" s="87" t="s">
        <v>119</v>
      </c>
      <c r="I5" s="87" t="s">
        <v>120</v>
      </c>
      <c r="J5" s="87" t="s">
        <v>121</v>
      </c>
      <c r="K5" s="89" t="s">
        <v>122</v>
      </c>
      <c r="L5" s="127" t="s">
        <v>123</v>
      </c>
      <c r="M5" s="90" t="s">
        <v>124</v>
      </c>
      <c r="N5" s="90" t="s">
        <v>125</v>
      </c>
      <c r="O5" s="88" t="s">
        <v>220</v>
      </c>
      <c r="P5" s="89" t="s">
        <v>18</v>
      </c>
    </row>
    <row r="6" spans="2:16" ht="22.05" customHeight="1" x14ac:dyDescent="0.4">
      <c r="B6" s="91">
        <v>1</v>
      </c>
      <c r="C6" s="184" t="s">
        <v>47</v>
      </c>
      <c r="D6" s="92" t="s">
        <v>48</v>
      </c>
      <c r="E6" s="92" t="s">
        <v>126</v>
      </c>
      <c r="F6" s="92" t="s">
        <v>49</v>
      </c>
      <c r="G6" s="92">
        <v>10</v>
      </c>
      <c r="H6" s="92" t="s">
        <v>127</v>
      </c>
      <c r="I6" s="93" t="s">
        <v>128</v>
      </c>
      <c r="J6" s="93" t="s">
        <v>129</v>
      </c>
      <c r="K6" s="94" t="s">
        <v>130</v>
      </c>
      <c r="L6" s="134">
        <v>800000</v>
      </c>
      <c r="M6" s="135">
        <v>9</v>
      </c>
      <c r="N6" s="136">
        <f>L6*M6</f>
        <v>7200000</v>
      </c>
      <c r="O6" s="186">
        <f>SUM(N6:N13)</f>
        <v>36000000</v>
      </c>
      <c r="P6" s="188" t="s">
        <v>131</v>
      </c>
    </row>
    <row r="7" spans="2:16" ht="22.05" customHeight="1" x14ac:dyDescent="0.4">
      <c r="B7" s="175">
        <v>2</v>
      </c>
      <c r="C7" s="173"/>
      <c r="D7" s="172" t="s">
        <v>132</v>
      </c>
      <c r="E7" s="172" t="s">
        <v>126</v>
      </c>
      <c r="F7" s="172" t="s">
        <v>133</v>
      </c>
      <c r="G7" s="172">
        <v>137</v>
      </c>
      <c r="H7" s="13" t="s">
        <v>134</v>
      </c>
      <c r="I7" s="97" t="s">
        <v>135</v>
      </c>
      <c r="J7" s="97" t="s">
        <v>129</v>
      </c>
      <c r="K7" s="98" t="s">
        <v>136</v>
      </c>
      <c r="L7" s="95">
        <v>800000</v>
      </c>
      <c r="M7" s="130">
        <v>9</v>
      </c>
      <c r="N7" s="131">
        <f t="shared" ref="N7:N44" si="0">L7*M7</f>
        <v>7200000</v>
      </c>
      <c r="O7" s="187"/>
      <c r="P7" s="189"/>
    </row>
    <row r="8" spans="2:16" ht="22.05" customHeight="1" x14ac:dyDescent="0.4">
      <c r="B8" s="176"/>
      <c r="C8" s="173"/>
      <c r="D8" s="173"/>
      <c r="E8" s="173"/>
      <c r="F8" s="173"/>
      <c r="G8" s="173"/>
      <c r="H8" s="15"/>
      <c r="I8" s="100"/>
      <c r="J8" s="100"/>
      <c r="K8" s="124"/>
      <c r="L8" s="109"/>
      <c r="M8" s="137"/>
      <c r="N8" s="138"/>
      <c r="O8" s="187"/>
      <c r="P8" s="189"/>
    </row>
    <row r="9" spans="2:16" ht="22.05" customHeight="1" x14ac:dyDescent="0.4">
      <c r="B9" s="177"/>
      <c r="C9" s="173"/>
      <c r="D9" s="185"/>
      <c r="E9" s="185"/>
      <c r="F9" s="185"/>
      <c r="G9" s="185"/>
      <c r="H9" s="15"/>
      <c r="I9" s="100"/>
      <c r="J9" s="100"/>
      <c r="K9" s="124"/>
      <c r="L9" s="109"/>
      <c r="M9" s="137"/>
      <c r="N9" s="138"/>
      <c r="O9" s="187"/>
      <c r="P9" s="189"/>
    </row>
    <row r="10" spans="2:16" ht="22.05" customHeight="1" x14ac:dyDescent="0.4">
      <c r="B10" s="96">
        <v>3</v>
      </c>
      <c r="C10" s="173"/>
      <c r="D10" s="13" t="s">
        <v>85</v>
      </c>
      <c r="E10" s="13" t="s">
        <v>137</v>
      </c>
      <c r="F10" s="13" t="s">
        <v>86</v>
      </c>
      <c r="G10" s="13">
        <v>17</v>
      </c>
      <c r="H10" s="13" t="s">
        <v>138</v>
      </c>
      <c r="I10" s="97" t="s">
        <v>139</v>
      </c>
      <c r="J10" s="97" t="s">
        <v>129</v>
      </c>
      <c r="K10" s="101" t="s">
        <v>140</v>
      </c>
      <c r="L10" s="95">
        <v>800000</v>
      </c>
      <c r="M10" s="130">
        <v>9</v>
      </c>
      <c r="N10" s="131">
        <f t="shared" si="0"/>
        <v>7200000</v>
      </c>
      <c r="O10" s="187"/>
      <c r="P10" s="189"/>
    </row>
    <row r="11" spans="2:16" ht="22.05" customHeight="1" x14ac:dyDescent="0.4">
      <c r="B11" s="96">
        <v>4</v>
      </c>
      <c r="C11" s="173"/>
      <c r="D11" s="13" t="s">
        <v>94</v>
      </c>
      <c r="E11" s="13" t="s">
        <v>137</v>
      </c>
      <c r="F11" s="13" t="s">
        <v>95</v>
      </c>
      <c r="G11" s="13">
        <v>43</v>
      </c>
      <c r="H11" s="13" t="s">
        <v>141</v>
      </c>
      <c r="I11" s="97" t="s">
        <v>142</v>
      </c>
      <c r="J11" s="97" t="s">
        <v>129</v>
      </c>
      <c r="K11" s="101" t="s">
        <v>143</v>
      </c>
      <c r="L11" s="95">
        <v>800000</v>
      </c>
      <c r="M11" s="130">
        <v>9</v>
      </c>
      <c r="N11" s="131">
        <f t="shared" si="0"/>
        <v>7200000</v>
      </c>
      <c r="O11" s="187"/>
      <c r="P11" s="189"/>
    </row>
    <row r="12" spans="2:16" ht="22.05" customHeight="1" x14ac:dyDescent="0.4">
      <c r="B12" s="96">
        <v>5</v>
      </c>
      <c r="C12" s="173"/>
      <c r="D12" s="13" t="s">
        <v>89</v>
      </c>
      <c r="E12" s="13" t="s">
        <v>137</v>
      </c>
      <c r="F12" s="13" t="s">
        <v>92</v>
      </c>
      <c r="G12" s="13">
        <v>15</v>
      </c>
      <c r="H12" s="13" t="s">
        <v>144</v>
      </c>
      <c r="I12" s="97" t="s">
        <v>145</v>
      </c>
      <c r="J12" s="97" t="s">
        <v>129</v>
      </c>
      <c r="K12" s="101" t="s">
        <v>146</v>
      </c>
      <c r="L12" s="95">
        <v>800000</v>
      </c>
      <c r="M12" s="130">
        <v>9</v>
      </c>
      <c r="N12" s="131">
        <f t="shared" si="0"/>
        <v>7200000</v>
      </c>
      <c r="O12" s="187"/>
      <c r="P12" s="189"/>
    </row>
    <row r="13" spans="2:16" ht="22.05" customHeight="1" x14ac:dyDescent="0.4">
      <c r="B13" s="99"/>
      <c r="C13" s="185"/>
      <c r="D13" s="102" t="s">
        <v>89</v>
      </c>
      <c r="E13" s="102" t="s">
        <v>137</v>
      </c>
      <c r="F13" s="102" t="s">
        <v>90</v>
      </c>
      <c r="G13" s="102">
        <v>19</v>
      </c>
      <c r="H13" s="15"/>
      <c r="I13" s="100"/>
      <c r="J13" s="100"/>
      <c r="K13" s="124"/>
      <c r="L13" s="109"/>
      <c r="M13" s="137"/>
      <c r="N13" s="138"/>
      <c r="O13" s="187"/>
      <c r="P13" s="189"/>
    </row>
    <row r="14" spans="2:16" ht="22.05" customHeight="1" x14ac:dyDescent="0.4">
      <c r="B14" s="175">
        <v>6</v>
      </c>
      <c r="C14" s="172" t="s">
        <v>55</v>
      </c>
      <c r="D14" s="172" t="s">
        <v>96</v>
      </c>
      <c r="E14" s="172" t="s">
        <v>137</v>
      </c>
      <c r="F14" s="172" t="s">
        <v>97</v>
      </c>
      <c r="G14" s="172">
        <v>243</v>
      </c>
      <c r="H14" s="13" t="s">
        <v>147</v>
      </c>
      <c r="I14" s="97" t="s">
        <v>148</v>
      </c>
      <c r="J14" s="97" t="s">
        <v>129</v>
      </c>
      <c r="K14" s="101" t="s">
        <v>149</v>
      </c>
      <c r="L14" s="103">
        <v>800000</v>
      </c>
      <c r="M14" s="104">
        <v>9</v>
      </c>
      <c r="N14" s="105">
        <f>L14*M14</f>
        <v>7200000</v>
      </c>
      <c r="O14" s="190">
        <f>SUM(N14:N21)</f>
        <v>43200000</v>
      </c>
      <c r="P14" s="189" t="s">
        <v>150</v>
      </c>
    </row>
    <row r="15" spans="2:16" ht="22.05" customHeight="1" x14ac:dyDescent="0.4">
      <c r="B15" s="176"/>
      <c r="C15" s="173"/>
      <c r="D15" s="173"/>
      <c r="E15" s="173"/>
      <c r="F15" s="173"/>
      <c r="G15" s="173"/>
      <c r="H15" s="15"/>
      <c r="I15" s="100"/>
      <c r="J15" s="100"/>
      <c r="K15" s="124"/>
      <c r="L15" s="109"/>
      <c r="M15" s="137"/>
      <c r="N15" s="138"/>
      <c r="O15" s="187"/>
      <c r="P15" s="189"/>
    </row>
    <row r="16" spans="2:16" ht="22.05" customHeight="1" x14ac:dyDescent="0.4">
      <c r="B16" s="177"/>
      <c r="C16" s="173"/>
      <c r="D16" s="185"/>
      <c r="E16" s="185"/>
      <c r="F16" s="185"/>
      <c r="G16" s="185"/>
      <c r="H16" s="15"/>
      <c r="I16" s="100"/>
      <c r="J16" s="100"/>
      <c r="K16" s="124"/>
      <c r="L16" s="109"/>
      <c r="M16" s="137"/>
      <c r="N16" s="138"/>
      <c r="O16" s="187"/>
      <c r="P16" s="189"/>
    </row>
    <row r="17" spans="2:16" ht="22.05" customHeight="1" x14ac:dyDescent="0.4">
      <c r="B17" s="96">
        <v>7</v>
      </c>
      <c r="C17" s="173"/>
      <c r="D17" s="172" t="s">
        <v>99</v>
      </c>
      <c r="E17" s="172" t="s">
        <v>137</v>
      </c>
      <c r="F17" s="172" t="s">
        <v>100</v>
      </c>
      <c r="G17" s="172">
        <v>73</v>
      </c>
      <c r="H17" s="13" t="s">
        <v>151</v>
      </c>
      <c r="I17" s="97" t="s">
        <v>152</v>
      </c>
      <c r="J17" s="97" t="s">
        <v>129</v>
      </c>
      <c r="K17" s="101" t="s">
        <v>153</v>
      </c>
      <c r="L17" s="95">
        <v>800000</v>
      </c>
      <c r="M17" s="130">
        <v>9</v>
      </c>
      <c r="N17" s="131">
        <f t="shared" ref="N17:N22" si="1">L17*M17</f>
        <v>7200000</v>
      </c>
      <c r="O17" s="187"/>
      <c r="P17" s="189"/>
    </row>
    <row r="18" spans="2:16" ht="22.05" customHeight="1" x14ac:dyDescent="0.4">
      <c r="B18" s="96">
        <v>8</v>
      </c>
      <c r="C18" s="173"/>
      <c r="D18" s="185"/>
      <c r="E18" s="185"/>
      <c r="F18" s="185"/>
      <c r="G18" s="185"/>
      <c r="H18" s="13" t="s">
        <v>154</v>
      </c>
      <c r="I18" s="97" t="s">
        <v>155</v>
      </c>
      <c r="J18" s="97" t="s">
        <v>129</v>
      </c>
      <c r="K18" s="101" t="s">
        <v>153</v>
      </c>
      <c r="L18" s="95">
        <v>800000</v>
      </c>
      <c r="M18" s="130">
        <v>9</v>
      </c>
      <c r="N18" s="131">
        <f t="shared" si="1"/>
        <v>7200000</v>
      </c>
      <c r="O18" s="187"/>
      <c r="P18" s="189"/>
    </row>
    <row r="19" spans="2:16" ht="22.05" customHeight="1" x14ac:dyDescent="0.4">
      <c r="B19" s="96">
        <v>9</v>
      </c>
      <c r="C19" s="173"/>
      <c r="D19" s="172" t="s">
        <v>56</v>
      </c>
      <c r="E19" s="172" t="s">
        <v>126</v>
      </c>
      <c r="F19" s="172" t="s">
        <v>57</v>
      </c>
      <c r="G19" s="172">
        <v>141</v>
      </c>
      <c r="H19" s="13" t="s">
        <v>156</v>
      </c>
      <c r="I19" s="97" t="s">
        <v>157</v>
      </c>
      <c r="J19" s="97" t="s">
        <v>129</v>
      </c>
      <c r="K19" s="101" t="s">
        <v>158</v>
      </c>
      <c r="L19" s="95">
        <v>800000</v>
      </c>
      <c r="M19" s="130">
        <v>9</v>
      </c>
      <c r="N19" s="131">
        <f t="shared" si="1"/>
        <v>7200000</v>
      </c>
      <c r="O19" s="187"/>
      <c r="P19" s="189"/>
    </row>
    <row r="20" spans="2:16" ht="22.05" customHeight="1" x14ac:dyDescent="0.4">
      <c r="B20" s="96">
        <v>10</v>
      </c>
      <c r="C20" s="173"/>
      <c r="D20" s="173"/>
      <c r="E20" s="173"/>
      <c r="F20" s="173"/>
      <c r="G20" s="173"/>
      <c r="H20" s="13" t="s">
        <v>159</v>
      </c>
      <c r="I20" s="97" t="s">
        <v>160</v>
      </c>
      <c r="J20" s="97" t="s">
        <v>129</v>
      </c>
      <c r="K20" s="101" t="s">
        <v>158</v>
      </c>
      <c r="L20" s="95">
        <v>800000</v>
      </c>
      <c r="M20" s="130">
        <v>9</v>
      </c>
      <c r="N20" s="131">
        <f t="shared" si="1"/>
        <v>7200000</v>
      </c>
      <c r="O20" s="187"/>
      <c r="P20" s="189"/>
    </row>
    <row r="21" spans="2:16" ht="22.05" customHeight="1" x14ac:dyDescent="0.4">
      <c r="B21" s="96">
        <v>11</v>
      </c>
      <c r="C21" s="185"/>
      <c r="D21" s="185"/>
      <c r="E21" s="185"/>
      <c r="F21" s="185"/>
      <c r="G21" s="185"/>
      <c r="H21" s="13" t="s">
        <v>161</v>
      </c>
      <c r="I21" s="97" t="s">
        <v>162</v>
      </c>
      <c r="J21" s="97" t="s">
        <v>129</v>
      </c>
      <c r="K21" s="101" t="s">
        <v>158</v>
      </c>
      <c r="L21" s="106">
        <v>800000</v>
      </c>
      <c r="M21" s="107">
        <v>9</v>
      </c>
      <c r="N21" s="108">
        <f t="shared" si="1"/>
        <v>7200000</v>
      </c>
      <c r="O21" s="187"/>
      <c r="P21" s="189"/>
    </row>
    <row r="22" spans="2:16" ht="22.05" customHeight="1" x14ac:dyDescent="0.4">
      <c r="B22" s="175">
        <v>12</v>
      </c>
      <c r="C22" s="173" t="s">
        <v>103</v>
      </c>
      <c r="D22" s="173" t="s">
        <v>106</v>
      </c>
      <c r="E22" s="173" t="s">
        <v>137</v>
      </c>
      <c r="F22" s="173" t="s">
        <v>107</v>
      </c>
      <c r="G22" s="173">
        <v>67</v>
      </c>
      <c r="H22" s="157" t="s">
        <v>163</v>
      </c>
      <c r="I22" s="158" t="s">
        <v>164</v>
      </c>
      <c r="J22" s="158" t="s">
        <v>165</v>
      </c>
      <c r="K22" s="159" t="s">
        <v>166</v>
      </c>
      <c r="L22" s="160">
        <v>800000</v>
      </c>
      <c r="M22" s="155">
        <v>3</v>
      </c>
      <c r="N22" s="156">
        <f t="shared" si="1"/>
        <v>2400000</v>
      </c>
      <c r="O22" s="190">
        <f>SUM(N22:N25)</f>
        <v>14400000</v>
      </c>
      <c r="P22" s="191" t="s">
        <v>131</v>
      </c>
    </row>
    <row r="23" spans="2:16" ht="22.05" customHeight="1" x14ac:dyDescent="0.4">
      <c r="B23" s="176"/>
      <c r="C23" s="173"/>
      <c r="D23" s="173"/>
      <c r="E23" s="173"/>
      <c r="F23" s="173"/>
      <c r="G23" s="173"/>
      <c r="H23" s="13" t="s">
        <v>167</v>
      </c>
      <c r="I23" s="97" t="s">
        <v>168</v>
      </c>
      <c r="J23" s="97" t="s">
        <v>169</v>
      </c>
      <c r="K23" s="101" t="s">
        <v>166</v>
      </c>
      <c r="L23" s="110">
        <v>800000</v>
      </c>
      <c r="M23" s="139">
        <v>6</v>
      </c>
      <c r="N23" s="131">
        <f t="shared" ref="N23" si="2">L23*M23</f>
        <v>4800000</v>
      </c>
      <c r="O23" s="190"/>
      <c r="P23" s="191"/>
    </row>
    <row r="24" spans="2:16" ht="22.05" customHeight="1" x14ac:dyDescent="0.4">
      <c r="B24" s="177"/>
      <c r="C24" s="173"/>
      <c r="D24" s="185"/>
      <c r="E24" s="185"/>
      <c r="F24" s="185"/>
      <c r="G24" s="185"/>
      <c r="H24" s="15"/>
      <c r="I24" s="100"/>
      <c r="J24" s="100"/>
      <c r="K24" s="124"/>
      <c r="L24" s="109"/>
      <c r="M24" s="137"/>
      <c r="N24" s="138"/>
      <c r="O24" s="187"/>
      <c r="P24" s="191"/>
    </row>
    <row r="25" spans="2:16" ht="22.05" customHeight="1" thickBot="1" x14ac:dyDescent="0.45">
      <c r="B25" s="111">
        <v>13</v>
      </c>
      <c r="C25" s="174"/>
      <c r="D25" s="112" t="s">
        <v>104</v>
      </c>
      <c r="E25" s="112" t="s">
        <v>137</v>
      </c>
      <c r="F25" s="112" t="s">
        <v>105</v>
      </c>
      <c r="G25" s="112">
        <v>18</v>
      </c>
      <c r="H25" s="112" t="s">
        <v>170</v>
      </c>
      <c r="I25" s="113" t="s">
        <v>171</v>
      </c>
      <c r="J25" s="113" t="s">
        <v>129</v>
      </c>
      <c r="K25" s="114" t="s">
        <v>172</v>
      </c>
      <c r="L25" s="140">
        <v>800000</v>
      </c>
      <c r="M25" s="141">
        <v>9</v>
      </c>
      <c r="N25" s="142">
        <f>L25*M25</f>
        <v>7200000</v>
      </c>
      <c r="O25" s="193"/>
      <c r="P25" s="192"/>
    </row>
    <row r="26" spans="2:16" ht="22.05" customHeight="1" x14ac:dyDescent="0.4">
      <c r="B26" s="91">
        <v>14</v>
      </c>
      <c r="C26" s="184" t="s">
        <v>15</v>
      </c>
      <c r="D26" s="184" t="s">
        <v>63</v>
      </c>
      <c r="E26" s="184" t="s">
        <v>126</v>
      </c>
      <c r="F26" s="184" t="s">
        <v>64</v>
      </c>
      <c r="G26" s="184">
        <v>122</v>
      </c>
      <c r="H26" s="92" t="s">
        <v>173</v>
      </c>
      <c r="I26" s="93" t="s">
        <v>174</v>
      </c>
      <c r="J26" s="93" t="s">
        <v>129</v>
      </c>
      <c r="K26" s="126" t="s">
        <v>175</v>
      </c>
      <c r="L26" s="134">
        <v>800000</v>
      </c>
      <c r="M26" s="135">
        <v>9</v>
      </c>
      <c r="N26" s="136">
        <f t="shared" si="0"/>
        <v>7200000</v>
      </c>
      <c r="O26" s="186">
        <f>SUM(N26:N28)</f>
        <v>21600000</v>
      </c>
      <c r="P26" s="188" t="s">
        <v>150</v>
      </c>
    </row>
    <row r="27" spans="2:16" ht="22.05" customHeight="1" x14ac:dyDescent="0.4">
      <c r="B27" s="96">
        <v>15</v>
      </c>
      <c r="C27" s="173"/>
      <c r="D27" s="173"/>
      <c r="E27" s="173"/>
      <c r="F27" s="173"/>
      <c r="G27" s="173"/>
      <c r="H27" s="13" t="s">
        <v>176</v>
      </c>
      <c r="I27" s="97" t="s">
        <v>177</v>
      </c>
      <c r="J27" s="97" t="s">
        <v>129</v>
      </c>
      <c r="K27" s="101" t="s">
        <v>175</v>
      </c>
      <c r="L27" s="95">
        <v>800000</v>
      </c>
      <c r="M27" s="130">
        <v>9</v>
      </c>
      <c r="N27" s="131">
        <f t="shared" si="0"/>
        <v>7200000</v>
      </c>
      <c r="O27" s="187"/>
      <c r="P27" s="189"/>
    </row>
    <row r="28" spans="2:16" ht="22.05" customHeight="1" x14ac:dyDescent="0.4">
      <c r="B28" s="96">
        <v>16</v>
      </c>
      <c r="C28" s="185"/>
      <c r="D28" s="185"/>
      <c r="E28" s="185"/>
      <c r="F28" s="185"/>
      <c r="G28" s="185"/>
      <c r="H28" s="13" t="s">
        <v>178</v>
      </c>
      <c r="I28" s="97" t="s">
        <v>179</v>
      </c>
      <c r="J28" s="97" t="s">
        <v>129</v>
      </c>
      <c r="K28" s="101" t="s">
        <v>175</v>
      </c>
      <c r="L28" s="106">
        <v>800000</v>
      </c>
      <c r="M28" s="107">
        <v>9</v>
      </c>
      <c r="N28" s="108">
        <f t="shared" si="0"/>
        <v>7200000</v>
      </c>
      <c r="O28" s="187"/>
      <c r="P28" s="189"/>
    </row>
    <row r="29" spans="2:16" ht="22.05" customHeight="1" x14ac:dyDescent="0.4">
      <c r="B29" s="115">
        <v>17</v>
      </c>
      <c r="C29" s="172" t="s">
        <v>66</v>
      </c>
      <c r="D29" s="172" t="s">
        <v>67</v>
      </c>
      <c r="E29" s="172" t="s">
        <v>126</v>
      </c>
      <c r="F29" s="172" t="s">
        <v>68</v>
      </c>
      <c r="G29" s="172">
        <v>165</v>
      </c>
      <c r="H29" s="13" t="s">
        <v>180</v>
      </c>
      <c r="I29" s="97" t="s">
        <v>181</v>
      </c>
      <c r="J29" s="97" t="s">
        <v>129</v>
      </c>
      <c r="K29" s="101" t="s">
        <v>182</v>
      </c>
      <c r="L29" s="103">
        <v>800000</v>
      </c>
      <c r="M29" s="104">
        <v>9</v>
      </c>
      <c r="N29" s="105">
        <f t="shared" si="0"/>
        <v>7200000</v>
      </c>
      <c r="O29" s="190">
        <f>SUM(N29:N40)</f>
        <v>79200000</v>
      </c>
      <c r="P29" s="189" t="s">
        <v>131</v>
      </c>
    </row>
    <row r="30" spans="2:16" ht="22.05" customHeight="1" x14ac:dyDescent="0.4">
      <c r="B30" s="116">
        <v>18</v>
      </c>
      <c r="C30" s="173"/>
      <c r="D30" s="173"/>
      <c r="E30" s="173"/>
      <c r="F30" s="173"/>
      <c r="G30" s="173"/>
      <c r="H30" s="13" t="s">
        <v>183</v>
      </c>
      <c r="I30" s="97" t="s">
        <v>184</v>
      </c>
      <c r="J30" s="97" t="s">
        <v>129</v>
      </c>
      <c r="K30" s="101" t="s">
        <v>182</v>
      </c>
      <c r="L30" s="95">
        <v>800000</v>
      </c>
      <c r="M30" s="130">
        <v>9</v>
      </c>
      <c r="N30" s="131">
        <f t="shared" si="0"/>
        <v>7200000</v>
      </c>
      <c r="O30" s="187"/>
      <c r="P30" s="189"/>
    </row>
    <row r="31" spans="2:16" ht="22.05" customHeight="1" x14ac:dyDescent="0.4">
      <c r="B31" s="117">
        <v>19</v>
      </c>
      <c r="C31" s="173"/>
      <c r="D31" s="185"/>
      <c r="E31" s="185"/>
      <c r="F31" s="185"/>
      <c r="G31" s="185"/>
      <c r="H31" s="13" t="s">
        <v>185</v>
      </c>
      <c r="I31" s="97" t="s">
        <v>186</v>
      </c>
      <c r="J31" s="97" t="s">
        <v>129</v>
      </c>
      <c r="K31" s="101" t="s">
        <v>182</v>
      </c>
      <c r="L31" s="95">
        <v>800000</v>
      </c>
      <c r="M31" s="130">
        <v>9</v>
      </c>
      <c r="N31" s="131">
        <f t="shared" si="0"/>
        <v>7200000</v>
      </c>
      <c r="O31" s="187"/>
      <c r="P31" s="189"/>
    </row>
    <row r="32" spans="2:16" ht="22.05" customHeight="1" x14ac:dyDescent="0.4">
      <c r="B32" s="115">
        <v>20</v>
      </c>
      <c r="C32" s="173"/>
      <c r="D32" s="199" t="s">
        <v>74</v>
      </c>
      <c r="E32" s="172" t="s">
        <v>126</v>
      </c>
      <c r="F32" s="172" t="s">
        <v>75</v>
      </c>
      <c r="G32" s="172">
        <v>263</v>
      </c>
      <c r="H32" s="13" t="s">
        <v>187</v>
      </c>
      <c r="I32" s="97" t="s">
        <v>188</v>
      </c>
      <c r="J32" s="97" t="s">
        <v>129</v>
      </c>
      <c r="K32" s="101" t="s">
        <v>189</v>
      </c>
      <c r="L32" s="95">
        <v>800000</v>
      </c>
      <c r="M32" s="130">
        <v>9</v>
      </c>
      <c r="N32" s="131">
        <f t="shared" si="0"/>
        <v>7200000</v>
      </c>
      <c r="O32" s="187"/>
      <c r="P32" s="189"/>
    </row>
    <row r="33" spans="2:16" ht="22.05" customHeight="1" x14ac:dyDescent="0.4">
      <c r="B33" s="116">
        <v>21</v>
      </c>
      <c r="C33" s="173"/>
      <c r="D33" s="200"/>
      <c r="E33" s="173"/>
      <c r="F33" s="173"/>
      <c r="G33" s="173"/>
      <c r="H33" s="13" t="s">
        <v>190</v>
      </c>
      <c r="I33" s="97" t="s">
        <v>191</v>
      </c>
      <c r="J33" s="97" t="s">
        <v>129</v>
      </c>
      <c r="K33" s="101" t="s">
        <v>189</v>
      </c>
      <c r="L33" s="95">
        <v>800000</v>
      </c>
      <c r="M33" s="130">
        <v>9</v>
      </c>
      <c r="N33" s="131">
        <f t="shared" si="0"/>
        <v>7200000</v>
      </c>
      <c r="O33" s="187"/>
      <c r="P33" s="189"/>
    </row>
    <row r="34" spans="2:16" ht="22.05" customHeight="1" x14ac:dyDescent="0.4">
      <c r="B34" s="117">
        <v>22</v>
      </c>
      <c r="C34" s="173"/>
      <c r="D34" s="201"/>
      <c r="E34" s="185"/>
      <c r="F34" s="185"/>
      <c r="G34" s="185"/>
      <c r="H34" s="13" t="s">
        <v>192</v>
      </c>
      <c r="I34" s="97" t="s">
        <v>193</v>
      </c>
      <c r="J34" s="97" t="s">
        <v>129</v>
      </c>
      <c r="K34" s="101" t="s">
        <v>189</v>
      </c>
      <c r="L34" s="95">
        <v>800000</v>
      </c>
      <c r="M34" s="130">
        <v>9</v>
      </c>
      <c r="N34" s="131">
        <f t="shared" si="0"/>
        <v>7200000</v>
      </c>
      <c r="O34" s="187"/>
      <c r="P34" s="189"/>
    </row>
    <row r="35" spans="2:16" ht="22.05" customHeight="1" x14ac:dyDescent="0.4">
      <c r="B35" s="115">
        <v>23</v>
      </c>
      <c r="C35" s="173"/>
      <c r="D35" s="172" t="s">
        <v>194</v>
      </c>
      <c r="E35" s="172" t="s">
        <v>126</v>
      </c>
      <c r="F35" s="172" t="s">
        <v>70</v>
      </c>
      <c r="G35" s="172">
        <v>207</v>
      </c>
      <c r="H35" s="13" t="s">
        <v>195</v>
      </c>
      <c r="I35" s="97" t="s">
        <v>196</v>
      </c>
      <c r="J35" s="97" t="s">
        <v>129</v>
      </c>
      <c r="K35" s="101" t="s">
        <v>197</v>
      </c>
      <c r="L35" s="95">
        <v>800000</v>
      </c>
      <c r="M35" s="130">
        <v>9</v>
      </c>
      <c r="N35" s="131">
        <f t="shared" si="0"/>
        <v>7200000</v>
      </c>
      <c r="O35" s="187"/>
      <c r="P35" s="189"/>
    </row>
    <row r="36" spans="2:16" ht="22.05" customHeight="1" x14ac:dyDescent="0.4">
      <c r="B36" s="116">
        <v>24</v>
      </c>
      <c r="C36" s="173"/>
      <c r="D36" s="173"/>
      <c r="E36" s="173"/>
      <c r="F36" s="173"/>
      <c r="G36" s="173"/>
      <c r="H36" s="205" t="s">
        <v>198</v>
      </c>
      <c r="I36" s="206" t="s">
        <v>199</v>
      </c>
      <c r="J36" s="206" t="s">
        <v>226</v>
      </c>
      <c r="K36" s="207" t="s">
        <v>197</v>
      </c>
      <c r="L36" s="95">
        <v>800000</v>
      </c>
      <c r="M36" s="130">
        <v>6</v>
      </c>
      <c r="N36" s="131">
        <f t="shared" si="0"/>
        <v>4800000</v>
      </c>
      <c r="O36" s="187"/>
      <c r="P36" s="189"/>
    </row>
    <row r="37" spans="2:16" ht="22.05" customHeight="1" x14ac:dyDescent="0.4">
      <c r="B37" s="147"/>
      <c r="C37" s="173"/>
      <c r="D37" s="173"/>
      <c r="E37" s="173"/>
      <c r="F37" s="173"/>
      <c r="G37" s="173"/>
      <c r="H37" s="13" t="s">
        <v>227</v>
      </c>
      <c r="I37" s="97" t="s">
        <v>228</v>
      </c>
      <c r="J37" s="97" t="s">
        <v>217</v>
      </c>
      <c r="K37" s="101" t="s">
        <v>197</v>
      </c>
      <c r="L37" s="95">
        <v>800000</v>
      </c>
      <c r="M37" s="130">
        <v>3</v>
      </c>
      <c r="N37" s="131">
        <f t="shared" si="0"/>
        <v>2400000</v>
      </c>
      <c r="O37" s="187"/>
      <c r="P37" s="189"/>
    </row>
    <row r="38" spans="2:16" ht="22.05" customHeight="1" x14ac:dyDescent="0.4">
      <c r="B38" s="117">
        <v>25</v>
      </c>
      <c r="C38" s="173"/>
      <c r="D38" s="185"/>
      <c r="E38" s="185"/>
      <c r="F38" s="185"/>
      <c r="G38" s="185"/>
      <c r="H38" s="13" t="s">
        <v>200</v>
      </c>
      <c r="I38" s="97" t="s">
        <v>201</v>
      </c>
      <c r="J38" s="97" t="s">
        <v>129</v>
      </c>
      <c r="K38" s="101" t="s">
        <v>197</v>
      </c>
      <c r="L38" s="95">
        <v>800000</v>
      </c>
      <c r="M38" s="130">
        <v>9</v>
      </c>
      <c r="N38" s="131">
        <f t="shared" si="0"/>
        <v>7200000</v>
      </c>
      <c r="O38" s="187"/>
      <c r="P38" s="189"/>
    </row>
    <row r="39" spans="2:16" ht="22.05" customHeight="1" x14ac:dyDescent="0.4">
      <c r="B39" s="115">
        <v>26</v>
      </c>
      <c r="C39" s="173"/>
      <c r="D39" s="172" t="s">
        <v>194</v>
      </c>
      <c r="E39" s="172" t="s">
        <v>126</v>
      </c>
      <c r="F39" s="172" t="s">
        <v>72</v>
      </c>
      <c r="G39" s="172">
        <v>56</v>
      </c>
      <c r="H39" s="13" t="s">
        <v>202</v>
      </c>
      <c r="I39" s="97" t="s">
        <v>203</v>
      </c>
      <c r="J39" s="97" t="s">
        <v>129</v>
      </c>
      <c r="K39" s="101" t="s">
        <v>204</v>
      </c>
      <c r="L39" s="95">
        <v>800000</v>
      </c>
      <c r="M39" s="130">
        <v>9</v>
      </c>
      <c r="N39" s="131">
        <f t="shared" si="0"/>
        <v>7200000</v>
      </c>
      <c r="O39" s="187"/>
      <c r="P39" s="189"/>
    </row>
    <row r="40" spans="2:16" ht="22.05" customHeight="1" x14ac:dyDescent="0.4">
      <c r="B40" s="117">
        <v>27</v>
      </c>
      <c r="C40" s="185"/>
      <c r="D40" s="185"/>
      <c r="E40" s="185"/>
      <c r="F40" s="185"/>
      <c r="G40" s="185"/>
      <c r="H40" s="13" t="s">
        <v>205</v>
      </c>
      <c r="I40" s="97" t="s">
        <v>206</v>
      </c>
      <c r="J40" s="97" t="s">
        <v>129</v>
      </c>
      <c r="K40" s="101" t="s">
        <v>204</v>
      </c>
      <c r="L40" s="106">
        <v>800000</v>
      </c>
      <c r="M40" s="107">
        <v>9</v>
      </c>
      <c r="N40" s="108">
        <f t="shared" si="0"/>
        <v>7200000</v>
      </c>
      <c r="O40" s="187"/>
      <c r="P40" s="189"/>
    </row>
    <row r="41" spans="2:16" ht="22.05" customHeight="1" x14ac:dyDescent="0.4">
      <c r="B41" s="96">
        <v>28</v>
      </c>
      <c r="C41" s="102" t="s">
        <v>79</v>
      </c>
      <c r="D41" s="102" t="s">
        <v>80</v>
      </c>
      <c r="E41" s="102" t="s">
        <v>137</v>
      </c>
      <c r="F41" s="102" t="s">
        <v>81</v>
      </c>
      <c r="G41" s="102">
        <v>36</v>
      </c>
      <c r="H41" s="102" t="s">
        <v>207</v>
      </c>
      <c r="I41" s="118" t="s">
        <v>208</v>
      </c>
      <c r="J41" s="97" t="s">
        <v>129</v>
      </c>
      <c r="K41" s="119" t="s">
        <v>209</v>
      </c>
      <c r="L41" s="120">
        <v>800000</v>
      </c>
      <c r="M41" s="121">
        <v>9</v>
      </c>
      <c r="N41" s="122">
        <f t="shared" si="0"/>
        <v>7200000</v>
      </c>
      <c r="O41" s="9">
        <f>SUM(N41)</f>
        <v>7200000</v>
      </c>
      <c r="P41" s="123" t="s">
        <v>131</v>
      </c>
    </row>
    <row r="42" spans="2:16" ht="22.05" customHeight="1" x14ac:dyDescent="0.4">
      <c r="B42" s="178">
        <v>29</v>
      </c>
      <c r="C42" s="172" t="s">
        <v>109</v>
      </c>
      <c r="D42" s="172" t="s">
        <v>110</v>
      </c>
      <c r="E42" s="172" t="s">
        <v>137</v>
      </c>
      <c r="F42" s="172" t="s">
        <v>111</v>
      </c>
      <c r="G42" s="172">
        <v>24</v>
      </c>
      <c r="H42" s="148" t="s">
        <v>210</v>
      </c>
      <c r="I42" s="149" t="s">
        <v>211</v>
      </c>
      <c r="J42" s="149" t="s">
        <v>212</v>
      </c>
      <c r="K42" s="150" t="s">
        <v>213</v>
      </c>
      <c r="L42" s="151">
        <v>800000</v>
      </c>
      <c r="M42" s="152">
        <v>2</v>
      </c>
      <c r="N42" s="153">
        <f t="shared" si="0"/>
        <v>1600000</v>
      </c>
      <c r="O42" s="194">
        <f>N42+N43+N44</f>
        <v>7200000</v>
      </c>
      <c r="P42" s="123" t="s">
        <v>131</v>
      </c>
    </row>
    <row r="43" spans="2:16" ht="22.05" customHeight="1" x14ac:dyDescent="0.4">
      <c r="B43" s="179"/>
      <c r="C43" s="173"/>
      <c r="D43" s="173"/>
      <c r="E43" s="173"/>
      <c r="F43" s="173"/>
      <c r="G43" s="173"/>
      <c r="H43" s="148" t="s">
        <v>214</v>
      </c>
      <c r="I43" s="149" t="s">
        <v>215</v>
      </c>
      <c r="J43" s="149" t="s">
        <v>216</v>
      </c>
      <c r="K43" s="150" t="s">
        <v>213</v>
      </c>
      <c r="L43" s="154">
        <v>800000</v>
      </c>
      <c r="M43" s="155">
        <v>4</v>
      </c>
      <c r="N43" s="156">
        <f t="shared" si="0"/>
        <v>3200000</v>
      </c>
      <c r="O43" s="195"/>
      <c r="P43" s="123" t="s">
        <v>131</v>
      </c>
    </row>
    <row r="44" spans="2:16" ht="22.05" customHeight="1" thickBot="1" x14ac:dyDescent="0.45">
      <c r="B44" s="180"/>
      <c r="C44" s="174"/>
      <c r="D44" s="174"/>
      <c r="E44" s="174"/>
      <c r="F44" s="174"/>
      <c r="G44" s="174"/>
      <c r="H44" s="146" t="s">
        <v>221</v>
      </c>
      <c r="I44" s="128" t="s">
        <v>222</v>
      </c>
      <c r="J44" s="128" t="s">
        <v>217</v>
      </c>
      <c r="K44" s="129" t="s">
        <v>213</v>
      </c>
      <c r="L44" s="95">
        <v>800000</v>
      </c>
      <c r="M44" s="130">
        <v>3</v>
      </c>
      <c r="N44" s="131">
        <f t="shared" si="0"/>
        <v>2400000</v>
      </c>
      <c r="O44" s="196"/>
      <c r="P44" s="125" t="s">
        <v>131</v>
      </c>
    </row>
    <row r="45" spans="2:16" ht="22.05" customHeight="1" thickBot="1" x14ac:dyDescent="0.45">
      <c r="B45" s="197" t="s">
        <v>218</v>
      </c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32">
        <f>SUM(O6:O42)</f>
        <v>208800000</v>
      </c>
      <c r="P45" s="133"/>
    </row>
    <row r="46" spans="2:16" x14ac:dyDescent="0.4">
      <c r="B46" s="85" t="s">
        <v>219</v>
      </c>
      <c r="N46" s="3"/>
    </row>
  </sheetData>
  <mergeCells count="69">
    <mergeCell ref="O42:O44"/>
    <mergeCell ref="B45:N45"/>
    <mergeCell ref="P29:P40"/>
    <mergeCell ref="D32:D34"/>
    <mergeCell ref="E32:E34"/>
    <mergeCell ref="F32:F34"/>
    <mergeCell ref="G32:G34"/>
    <mergeCell ref="D35:D38"/>
    <mergeCell ref="E35:E38"/>
    <mergeCell ref="F35:F38"/>
    <mergeCell ref="G35:G38"/>
    <mergeCell ref="D39:D40"/>
    <mergeCell ref="C29:C40"/>
    <mergeCell ref="D29:D31"/>
    <mergeCell ref="E29:E31"/>
    <mergeCell ref="F29:F31"/>
    <mergeCell ref="G29:G31"/>
    <mergeCell ref="O29:O40"/>
    <mergeCell ref="E39:E40"/>
    <mergeCell ref="F39:F40"/>
    <mergeCell ref="G39:G40"/>
    <mergeCell ref="P22:P25"/>
    <mergeCell ref="C26:C28"/>
    <mergeCell ref="D26:D28"/>
    <mergeCell ref="E26:E28"/>
    <mergeCell ref="F26:F28"/>
    <mergeCell ref="G26:G28"/>
    <mergeCell ref="O26:O28"/>
    <mergeCell ref="P26:P28"/>
    <mergeCell ref="C22:C25"/>
    <mergeCell ref="D22:D24"/>
    <mergeCell ref="E22:E24"/>
    <mergeCell ref="F22:F24"/>
    <mergeCell ref="G22:G24"/>
    <mergeCell ref="O22:O25"/>
    <mergeCell ref="P14:P21"/>
    <mergeCell ref="D17:D18"/>
    <mergeCell ref="E17:E18"/>
    <mergeCell ref="F17:F18"/>
    <mergeCell ref="G17:G18"/>
    <mergeCell ref="D19:D21"/>
    <mergeCell ref="E19:E21"/>
    <mergeCell ref="F19:F21"/>
    <mergeCell ref="G19:G21"/>
    <mergeCell ref="O14:O21"/>
    <mergeCell ref="E7:E9"/>
    <mergeCell ref="F7:F9"/>
    <mergeCell ref="G7:G9"/>
    <mergeCell ref="C14:C21"/>
    <mergeCell ref="D14:D16"/>
    <mergeCell ref="E14:E16"/>
    <mergeCell ref="F14:F16"/>
    <mergeCell ref="G14:G16"/>
    <mergeCell ref="B2:P2"/>
    <mergeCell ref="C42:C44"/>
    <mergeCell ref="D42:D44"/>
    <mergeCell ref="E42:E44"/>
    <mergeCell ref="F42:F44"/>
    <mergeCell ref="G42:G44"/>
    <mergeCell ref="B22:B24"/>
    <mergeCell ref="B42:B44"/>
    <mergeCell ref="B7:B9"/>
    <mergeCell ref="B14:B16"/>
    <mergeCell ref="B4:K4"/>
    <mergeCell ref="L4:P4"/>
    <mergeCell ref="C6:C13"/>
    <mergeCell ref="O6:O13"/>
    <mergeCell ref="P6:P13"/>
    <mergeCell ref="D7:D9"/>
  </mergeCells>
  <phoneticPr fontId="2" type="noConversion"/>
  <pageMargins left="0.7" right="0.7" top="0.75" bottom="0.75" header="0.3" footer="0.3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875D-FA84-40AC-8DE3-4C29AC1DD060}">
  <sheetPr>
    <tabColor rgb="FFFFFF00"/>
  </sheetPr>
  <dimension ref="B2:P34"/>
  <sheetViews>
    <sheetView topLeftCell="B8" zoomScale="89" zoomScaleNormal="89" workbookViewId="0">
      <selection activeCell="P23" sqref="P23"/>
    </sheetView>
  </sheetViews>
  <sheetFormatPr defaultRowHeight="17.399999999999999" x14ac:dyDescent="0.4"/>
  <cols>
    <col min="1" max="1" width="2.69921875" customWidth="1"/>
    <col min="2" max="2" width="3.5" customWidth="1"/>
    <col min="3" max="3" width="14.69921875" customWidth="1"/>
    <col min="4" max="4" width="19.59765625" customWidth="1"/>
    <col min="5" max="5" width="20.5" customWidth="1"/>
    <col min="6" max="6" width="20.3984375" customWidth="1"/>
    <col min="7" max="7" width="11.19921875" customWidth="1"/>
    <col min="8" max="8" width="12.296875" bestFit="1" customWidth="1"/>
    <col min="11" max="11" width="16.69921875" customWidth="1"/>
    <col min="12" max="12" width="24.69921875" customWidth="1"/>
    <col min="13" max="13" width="16.69921875" customWidth="1"/>
    <col min="14" max="14" width="24.69921875" customWidth="1"/>
    <col min="15" max="15" width="16.69921875" customWidth="1"/>
    <col min="16" max="16" width="24.69921875" customWidth="1"/>
  </cols>
  <sheetData>
    <row r="2" spans="2:14" ht="32.4" customHeight="1" x14ac:dyDescent="0.4">
      <c r="B2" s="202" t="s">
        <v>17</v>
      </c>
      <c r="C2" s="202"/>
      <c r="D2" s="202"/>
      <c r="E2" s="202"/>
      <c r="F2" s="202"/>
      <c r="G2" s="202"/>
      <c r="H2" s="202"/>
    </row>
    <row r="3" spans="2:14" ht="22.2" x14ac:dyDescent="0.4">
      <c r="B3" s="2" t="s">
        <v>27</v>
      </c>
      <c r="C3" s="11"/>
      <c r="D3" s="11"/>
      <c r="E3" s="11"/>
      <c r="F3" s="11"/>
      <c r="G3" s="11"/>
      <c r="H3" s="11"/>
    </row>
    <row r="4" spans="2:14" ht="22.8" thickBot="1" x14ac:dyDescent="0.45">
      <c r="B4" s="2" t="s">
        <v>28</v>
      </c>
      <c r="C4" s="11"/>
      <c r="D4" s="11"/>
      <c r="E4" s="11"/>
      <c r="F4" s="11"/>
      <c r="G4" s="11"/>
      <c r="H4" s="11"/>
    </row>
    <row r="5" spans="2:14" x14ac:dyDescent="0.4">
      <c r="K5" s="227" t="s">
        <v>231</v>
      </c>
      <c r="L5" s="228"/>
      <c r="M5" s="228"/>
      <c r="N5" s="229"/>
    </row>
    <row r="6" spans="2:14" x14ac:dyDescent="0.4">
      <c r="C6" s="5" t="s">
        <v>24</v>
      </c>
      <c r="K6" s="226" t="s">
        <v>21</v>
      </c>
      <c r="L6" s="209"/>
      <c r="M6" s="204" t="s">
        <v>29</v>
      </c>
      <c r="N6" s="222"/>
    </row>
    <row r="7" spans="2:14" x14ac:dyDescent="0.4">
      <c r="C7" s="15" t="s">
        <v>9</v>
      </c>
      <c r="D7" s="15" t="s">
        <v>11</v>
      </c>
      <c r="E7" s="15" t="s">
        <v>14</v>
      </c>
      <c r="F7" s="15" t="s">
        <v>10</v>
      </c>
      <c r="G7" s="15" t="s">
        <v>18</v>
      </c>
      <c r="K7" s="214" t="s">
        <v>9</v>
      </c>
      <c r="L7" s="145" t="s">
        <v>16</v>
      </c>
      <c r="M7" s="10" t="s">
        <v>9</v>
      </c>
      <c r="N7" s="223" t="s">
        <v>16</v>
      </c>
    </row>
    <row r="8" spans="2:14" x14ac:dyDescent="0.4">
      <c r="C8" s="14" t="s">
        <v>0</v>
      </c>
      <c r="D8" s="4">
        <v>16500000</v>
      </c>
      <c r="E8" s="4">
        <v>26676000</v>
      </c>
      <c r="F8" s="144">
        <v>43176000</v>
      </c>
      <c r="G8" s="145" t="s">
        <v>23</v>
      </c>
      <c r="K8" s="216" t="s">
        <v>0</v>
      </c>
      <c r="L8" s="9">
        <f>F8+F19</f>
        <v>44176000</v>
      </c>
      <c r="M8" s="1" t="s">
        <v>0</v>
      </c>
      <c r="N8" s="218">
        <v>36000000</v>
      </c>
    </row>
    <row r="9" spans="2:14" x14ac:dyDescent="0.4">
      <c r="C9" s="14" t="s">
        <v>1</v>
      </c>
      <c r="D9" s="4">
        <v>8500000</v>
      </c>
      <c r="E9" s="4">
        <v>37452000</v>
      </c>
      <c r="F9" s="144">
        <v>45952000</v>
      </c>
      <c r="G9" s="145" t="s">
        <v>23</v>
      </c>
      <c r="K9" s="216" t="s">
        <v>1</v>
      </c>
      <c r="L9" s="9">
        <f>F9+F26</f>
        <v>89152000</v>
      </c>
      <c r="M9" s="1" t="s">
        <v>1</v>
      </c>
      <c r="N9" s="217">
        <v>0</v>
      </c>
    </row>
    <row r="10" spans="2:14" x14ac:dyDescent="0.4">
      <c r="C10" s="14" t="s">
        <v>2</v>
      </c>
      <c r="D10" s="4">
        <v>5000000</v>
      </c>
      <c r="E10" s="4">
        <v>17060000</v>
      </c>
      <c r="F10" s="144">
        <v>22060000</v>
      </c>
      <c r="G10" s="145" t="s">
        <v>23</v>
      </c>
      <c r="K10" s="216" t="s">
        <v>2</v>
      </c>
      <c r="L10" s="9">
        <f>F10</f>
        <v>22060000</v>
      </c>
      <c r="M10" s="1" t="s">
        <v>2</v>
      </c>
      <c r="N10" s="218">
        <v>14400000</v>
      </c>
    </row>
    <row r="11" spans="2:14" x14ac:dyDescent="0.4">
      <c r="C11" s="14" t="s">
        <v>3</v>
      </c>
      <c r="D11" s="4">
        <v>3500000</v>
      </c>
      <c r="E11" s="4">
        <v>11392000</v>
      </c>
      <c r="F11" s="144">
        <v>14892000</v>
      </c>
      <c r="G11" s="145" t="s">
        <v>23</v>
      </c>
      <c r="K11" s="216" t="s">
        <v>3</v>
      </c>
      <c r="L11" s="9">
        <f>F11+F28</f>
        <v>36492000</v>
      </c>
      <c r="M11" s="1" t="s">
        <v>3</v>
      </c>
      <c r="N11" s="217">
        <v>0</v>
      </c>
    </row>
    <row r="12" spans="2:14" x14ac:dyDescent="0.4">
      <c r="C12" s="14" t="s">
        <v>4</v>
      </c>
      <c r="D12" s="4">
        <v>12600000</v>
      </c>
      <c r="E12" s="4">
        <v>33876000</v>
      </c>
      <c r="F12" s="144">
        <v>46476000</v>
      </c>
      <c r="G12" s="145" t="s">
        <v>23</v>
      </c>
      <c r="K12" s="216" t="s">
        <v>4</v>
      </c>
      <c r="L12" s="9">
        <f>F12</f>
        <v>46476000</v>
      </c>
      <c r="M12" s="1" t="s">
        <v>4</v>
      </c>
      <c r="N12" s="218">
        <v>79200000</v>
      </c>
    </row>
    <row r="13" spans="2:14" x14ac:dyDescent="0.4">
      <c r="C13" s="14" t="s">
        <v>5</v>
      </c>
      <c r="D13" s="4">
        <v>3500000</v>
      </c>
      <c r="E13" s="4">
        <v>4296000</v>
      </c>
      <c r="F13" s="144">
        <v>7796000</v>
      </c>
      <c r="G13" s="145" t="s">
        <v>23</v>
      </c>
      <c r="K13" s="216" t="s">
        <v>5</v>
      </c>
      <c r="L13" s="9">
        <f>F13</f>
        <v>7796000</v>
      </c>
      <c r="M13" s="1" t="s">
        <v>5</v>
      </c>
      <c r="N13" s="218">
        <v>7200000</v>
      </c>
    </row>
    <row r="14" spans="2:14" x14ac:dyDescent="0.4">
      <c r="C14" s="14" t="s">
        <v>6</v>
      </c>
      <c r="D14" s="4">
        <v>2500000</v>
      </c>
      <c r="E14" s="4">
        <v>2864000</v>
      </c>
      <c r="F14" s="144">
        <v>5364000</v>
      </c>
      <c r="G14" s="145" t="s">
        <v>23</v>
      </c>
      <c r="K14" s="216" t="s">
        <v>6</v>
      </c>
      <c r="L14" s="9">
        <f>F14</f>
        <v>5364000</v>
      </c>
      <c r="M14" s="1" t="s">
        <v>6</v>
      </c>
      <c r="N14" s="218">
        <v>7200000</v>
      </c>
    </row>
    <row r="15" spans="2:14" ht="18" thickBot="1" x14ac:dyDescent="0.45">
      <c r="D15" s="3">
        <f>SUM(D7:D14)</f>
        <v>52100000</v>
      </c>
      <c r="E15" s="3">
        <f>SUM(E7:E14)</f>
        <v>133616000</v>
      </c>
      <c r="F15" s="3">
        <f>SUM(F7:F14)</f>
        <v>185716000</v>
      </c>
      <c r="K15" s="219" t="s">
        <v>7</v>
      </c>
      <c r="L15" s="224">
        <f>F20</f>
        <v>1000000</v>
      </c>
      <c r="M15" s="225" t="s">
        <v>7</v>
      </c>
      <c r="N15" s="220">
        <v>0</v>
      </c>
    </row>
    <row r="16" spans="2:14" x14ac:dyDescent="0.4">
      <c r="D16" s="3"/>
      <c r="E16" s="3"/>
      <c r="F16" s="3"/>
      <c r="L16" s="3">
        <f>SUM(L8:L15)</f>
        <v>252516000</v>
      </c>
      <c r="N16" s="3">
        <f>SUM(N8:N15)</f>
        <v>144000000</v>
      </c>
    </row>
    <row r="17" spans="3:16" x14ac:dyDescent="0.4">
      <c r="C17" s="5" t="s">
        <v>25</v>
      </c>
    </row>
    <row r="18" spans="3:16" ht="18" thickBot="1" x14ac:dyDescent="0.45">
      <c r="C18" s="15" t="s">
        <v>9</v>
      </c>
      <c r="D18" s="15"/>
      <c r="E18" s="15" t="s">
        <v>12</v>
      </c>
      <c r="F18" s="15" t="s">
        <v>10</v>
      </c>
      <c r="G18" s="15" t="s">
        <v>18</v>
      </c>
    </row>
    <row r="19" spans="3:16" x14ac:dyDescent="0.4">
      <c r="C19" s="14" t="s">
        <v>0</v>
      </c>
      <c r="D19" s="8"/>
      <c r="E19" s="4">
        <v>1000000</v>
      </c>
      <c r="F19" s="144">
        <v>1000000</v>
      </c>
      <c r="G19" s="145" t="s">
        <v>23</v>
      </c>
      <c r="H19" t="s">
        <v>20</v>
      </c>
      <c r="K19" s="210" t="s">
        <v>232</v>
      </c>
      <c r="L19" s="211"/>
      <c r="M19" s="210" t="s">
        <v>230</v>
      </c>
      <c r="N19" s="221"/>
      <c r="O19" s="221"/>
      <c r="P19" s="211"/>
    </row>
    <row r="20" spans="3:16" x14ac:dyDescent="0.4">
      <c r="C20" s="14" t="s">
        <v>7</v>
      </c>
      <c r="D20" s="8"/>
      <c r="E20" s="4">
        <v>1000000</v>
      </c>
      <c r="F20" s="144">
        <v>1000000</v>
      </c>
      <c r="G20" s="145" t="s">
        <v>23</v>
      </c>
      <c r="H20" t="s">
        <v>19</v>
      </c>
      <c r="K20" s="212" t="s">
        <v>21</v>
      </c>
      <c r="L20" s="213"/>
      <c r="M20" s="212" t="s">
        <v>21</v>
      </c>
      <c r="N20" s="203"/>
      <c r="O20" s="204" t="s">
        <v>29</v>
      </c>
      <c r="P20" s="222"/>
    </row>
    <row r="21" spans="3:16" x14ac:dyDescent="0.4">
      <c r="E21" s="7">
        <f>SUM(E19:E20)</f>
        <v>2000000</v>
      </c>
      <c r="F21" s="7">
        <f>SUM(F19:F20)</f>
        <v>2000000</v>
      </c>
      <c r="K21" s="214" t="s">
        <v>9</v>
      </c>
      <c r="L21" s="215" t="s">
        <v>16</v>
      </c>
      <c r="M21" s="214" t="s">
        <v>9</v>
      </c>
      <c r="N21" s="145" t="s">
        <v>16</v>
      </c>
      <c r="O21" s="10" t="s">
        <v>9</v>
      </c>
      <c r="P21" s="223" t="s">
        <v>16</v>
      </c>
    </row>
    <row r="22" spans="3:16" x14ac:dyDescent="0.4">
      <c r="K22" s="216" t="s">
        <v>0</v>
      </c>
      <c r="L22" s="217">
        <f>F8+F19</f>
        <v>44176000</v>
      </c>
      <c r="M22" s="216" t="s">
        <v>0</v>
      </c>
      <c r="N22" s="9">
        <v>0</v>
      </c>
      <c r="O22" s="1" t="s">
        <v>0</v>
      </c>
      <c r="P22" s="218">
        <v>36000000</v>
      </c>
    </row>
    <row r="23" spans="3:16" x14ac:dyDescent="0.4">
      <c r="C23" s="5" t="s">
        <v>26</v>
      </c>
      <c r="K23" s="216" t="s">
        <v>1</v>
      </c>
      <c r="L23" s="218">
        <f>F9</f>
        <v>45952000</v>
      </c>
      <c r="M23" s="216" t="s">
        <v>1</v>
      </c>
      <c r="N23" s="208">
        <v>43200000</v>
      </c>
      <c r="O23" s="1" t="s">
        <v>1</v>
      </c>
      <c r="P23" s="217">
        <v>0</v>
      </c>
    </row>
    <row r="24" spans="3:16" x14ac:dyDescent="0.4">
      <c r="C24" s="15" t="s">
        <v>9</v>
      </c>
      <c r="D24" s="15"/>
      <c r="E24" s="15" t="s">
        <v>13</v>
      </c>
      <c r="F24" s="15" t="s">
        <v>10</v>
      </c>
      <c r="G24" s="15" t="s">
        <v>18</v>
      </c>
      <c r="K24" s="216" t="s">
        <v>2</v>
      </c>
      <c r="L24" s="217">
        <f>F10</f>
        <v>22060000</v>
      </c>
      <c r="M24" s="216" t="s">
        <v>2</v>
      </c>
      <c r="N24" s="9">
        <v>0</v>
      </c>
      <c r="O24" s="1" t="s">
        <v>2</v>
      </c>
      <c r="P24" s="218">
        <v>14400000</v>
      </c>
    </row>
    <row r="25" spans="3:16" x14ac:dyDescent="0.4">
      <c r="C25" s="14" t="s">
        <v>0</v>
      </c>
      <c r="D25" s="6"/>
      <c r="E25" s="4">
        <v>36000000</v>
      </c>
      <c r="F25" s="143">
        <v>36000000</v>
      </c>
      <c r="G25" s="10" t="s">
        <v>22</v>
      </c>
      <c r="H25" s="7"/>
      <c r="K25" s="216" t="s">
        <v>3</v>
      </c>
      <c r="L25" s="218">
        <f>F11</f>
        <v>14892000</v>
      </c>
      <c r="M25" s="216" t="s">
        <v>3</v>
      </c>
      <c r="N25" s="208">
        <v>21600000</v>
      </c>
      <c r="O25" s="1" t="s">
        <v>3</v>
      </c>
      <c r="P25" s="217">
        <v>0</v>
      </c>
    </row>
    <row r="26" spans="3:16" x14ac:dyDescent="0.4">
      <c r="C26" s="14" t="s">
        <v>1</v>
      </c>
      <c r="D26" s="6"/>
      <c r="E26" s="4">
        <v>43200000</v>
      </c>
      <c r="F26" s="144">
        <v>43200000</v>
      </c>
      <c r="G26" s="145" t="s">
        <v>23</v>
      </c>
      <c r="H26" s="7"/>
      <c r="K26" s="216" t="s">
        <v>4</v>
      </c>
      <c r="L26" s="217">
        <f>F12</f>
        <v>46476000</v>
      </c>
      <c r="M26" s="216" t="s">
        <v>4</v>
      </c>
      <c r="N26" s="9">
        <v>0</v>
      </c>
      <c r="O26" s="1" t="s">
        <v>4</v>
      </c>
      <c r="P26" s="218">
        <v>79200000</v>
      </c>
    </row>
    <row r="27" spans="3:16" x14ac:dyDescent="0.4">
      <c r="C27" s="14" t="s">
        <v>2</v>
      </c>
      <c r="D27" s="6"/>
      <c r="E27" s="4">
        <v>14400000</v>
      </c>
      <c r="F27" s="143">
        <v>14400000</v>
      </c>
      <c r="G27" s="10" t="s">
        <v>22</v>
      </c>
      <c r="H27" s="7"/>
      <c r="K27" s="216" t="s">
        <v>5</v>
      </c>
      <c r="L27" s="217">
        <f>F13</f>
        <v>7796000</v>
      </c>
      <c r="M27" s="216" t="s">
        <v>5</v>
      </c>
      <c r="N27" s="9">
        <v>0</v>
      </c>
      <c r="O27" s="1" t="s">
        <v>5</v>
      </c>
      <c r="P27" s="218">
        <v>7200000</v>
      </c>
    </row>
    <row r="28" spans="3:16" x14ac:dyDescent="0.4">
      <c r="C28" s="14" t="s">
        <v>3</v>
      </c>
      <c r="D28" s="6"/>
      <c r="E28" s="4">
        <v>21600000</v>
      </c>
      <c r="F28" s="144">
        <v>21600000</v>
      </c>
      <c r="G28" s="145" t="s">
        <v>23</v>
      </c>
      <c r="H28" s="7"/>
      <c r="K28" s="216" t="s">
        <v>6</v>
      </c>
      <c r="L28" s="217">
        <f>F14</f>
        <v>5364000</v>
      </c>
      <c r="M28" s="216" t="s">
        <v>6</v>
      </c>
      <c r="N28" s="9">
        <v>0</v>
      </c>
      <c r="O28" s="1" t="s">
        <v>6</v>
      </c>
      <c r="P28" s="218">
        <v>7200000</v>
      </c>
    </row>
    <row r="29" spans="3:16" ht="18" thickBot="1" x14ac:dyDescent="0.45">
      <c r="C29" s="14" t="s">
        <v>4</v>
      </c>
      <c r="D29" s="6"/>
      <c r="E29" s="4">
        <v>79200000</v>
      </c>
      <c r="F29" s="143">
        <v>79200000</v>
      </c>
      <c r="G29" s="10" t="s">
        <v>22</v>
      </c>
      <c r="H29" s="7"/>
      <c r="K29" s="219" t="s">
        <v>7</v>
      </c>
      <c r="L29" s="220">
        <f>F20</f>
        <v>1000000</v>
      </c>
      <c r="M29" s="219" t="s">
        <v>7</v>
      </c>
      <c r="N29" s="224">
        <v>0</v>
      </c>
      <c r="O29" s="225" t="s">
        <v>7</v>
      </c>
      <c r="P29" s="220">
        <v>0</v>
      </c>
    </row>
    <row r="30" spans="3:16" x14ac:dyDescent="0.4">
      <c r="C30" s="14" t="s">
        <v>5</v>
      </c>
      <c r="D30" s="6"/>
      <c r="E30" s="4">
        <v>7200000</v>
      </c>
      <c r="F30" s="143">
        <v>7200000</v>
      </c>
      <c r="G30" s="10" t="s">
        <v>22</v>
      </c>
      <c r="H30" s="7"/>
    </row>
    <row r="31" spans="3:16" x14ac:dyDescent="0.4">
      <c r="C31" s="14" t="s">
        <v>6</v>
      </c>
      <c r="D31" s="6"/>
      <c r="E31" s="4">
        <v>7200000</v>
      </c>
      <c r="F31" s="143">
        <v>7200000</v>
      </c>
      <c r="G31" s="10" t="s">
        <v>22</v>
      </c>
      <c r="H31" s="7"/>
    </row>
    <row r="32" spans="3:16" x14ac:dyDescent="0.4">
      <c r="E32" s="3">
        <f>SUM(E25:E31)</f>
        <v>208800000</v>
      </c>
      <c r="F32" s="3">
        <f>SUM(F25:F31)</f>
        <v>208800000</v>
      </c>
    </row>
    <row r="34" spans="12:12" x14ac:dyDescent="0.4">
      <c r="L34" s="3"/>
    </row>
  </sheetData>
  <mergeCells count="9">
    <mergeCell ref="M19:P19"/>
    <mergeCell ref="M20:N20"/>
    <mergeCell ref="O20:P20"/>
    <mergeCell ref="M6:N6"/>
    <mergeCell ref="K5:N5"/>
    <mergeCell ref="B2:H2"/>
    <mergeCell ref="K6:L6"/>
    <mergeCell ref="K20:L20"/>
    <mergeCell ref="K19:L19"/>
  </mergeCells>
  <phoneticPr fontId="2" type="noConversion"/>
  <pageMargins left="0.7" right="0.7" top="0.75" bottom="0.75" header="0.3" footer="0.3"/>
  <pageSetup paperSize="9" orientation="portrait" r:id="rId1"/>
  <ignoredErrors>
    <ignoredError sqref="L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6955-C80B-463C-8BC1-5BC6BD2A1508}">
  <dimension ref="A3:B35"/>
  <sheetViews>
    <sheetView workbookViewId="0">
      <selection activeCell="J25" sqref="J25"/>
    </sheetView>
  </sheetViews>
  <sheetFormatPr defaultRowHeight="17.399999999999999" x14ac:dyDescent="0.4"/>
  <cols>
    <col min="1" max="1" width="22.8984375" bestFit="1" customWidth="1"/>
    <col min="2" max="2" width="14.19921875" bestFit="1" customWidth="1"/>
    <col min="3" max="3" width="15.296875" bestFit="1" customWidth="1"/>
  </cols>
  <sheetData>
    <row r="3" spans="1:2" x14ac:dyDescent="0.4">
      <c r="A3" t="s">
        <v>233</v>
      </c>
      <c r="B3" t="s">
        <v>234</v>
      </c>
    </row>
    <row r="4" spans="1:2" x14ac:dyDescent="0.4">
      <c r="A4" s="85" t="s">
        <v>3</v>
      </c>
      <c r="B4">
        <v>1</v>
      </c>
    </row>
    <row r="5" spans="1:2" x14ac:dyDescent="0.4">
      <c r="A5" s="230" t="s">
        <v>235</v>
      </c>
      <c r="B5">
        <v>1</v>
      </c>
    </row>
    <row r="6" spans="1:2" x14ac:dyDescent="0.4">
      <c r="A6" s="85" t="s">
        <v>4</v>
      </c>
      <c r="B6">
        <v>4</v>
      </c>
    </row>
    <row r="7" spans="1:2" x14ac:dyDescent="0.4">
      <c r="A7" s="230" t="s">
        <v>236</v>
      </c>
      <c r="B7">
        <v>1</v>
      </c>
    </row>
    <row r="8" spans="1:2" x14ac:dyDescent="0.4">
      <c r="A8" s="230" t="s">
        <v>237</v>
      </c>
      <c r="B8">
        <v>1</v>
      </c>
    </row>
    <row r="9" spans="1:2" x14ac:dyDescent="0.4">
      <c r="A9" s="230" t="s">
        <v>238</v>
      </c>
      <c r="B9">
        <v>1</v>
      </c>
    </row>
    <row r="10" spans="1:2" x14ac:dyDescent="0.4">
      <c r="A10" s="230" t="s">
        <v>239</v>
      </c>
      <c r="B10">
        <v>1</v>
      </c>
    </row>
    <row r="11" spans="1:2" x14ac:dyDescent="0.4">
      <c r="A11" s="85" t="s">
        <v>5</v>
      </c>
      <c r="B11">
        <v>1</v>
      </c>
    </row>
    <row r="12" spans="1:2" x14ac:dyDescent="0.4">
      <c r="A12" s="230" t="s">
        <v>240</v>
      </c>
      <c r="B12">
        <v>1</v>
      </c>
    </row>
    <row r="13" spans="1:2" x14ac:dyDescent="0.4">
      <c r="A13" s="85" t="s">
        <v>6</v>
      </c>
      <c r="B13">
        <v>1</v>
      </c>
    </row>
    <row r="14" spans="1:2" x14ac:dyDescent="0.4">
      <c r="A14" s="230" t="s">
        <v>241</v>
      </c>
      <c r="B14">
        <v>1</v>
      </c>
    </row>
    <row r="15" spans="1:2" x14ac:dyDescent="0.4">
      <c r="A15" s="85" t="s">
        <v>1</v>
      </c>
      <c r="B15">
        <v>3</v>
      </c>
    </row>
    <row r="16" spans="1:2" x14ac:dyDescent="0.4">
      <c r="A16" s="230" t="s">
        <v>242</v>
      </c>
      <c r="B16">
        <v>1</v>
      </c>
    </row>
    <row r="17" spans="1:2" x14ac:dyDescent="0.4">
      <c r="A17" s="230" t="s">
        <v>243</v>
      </c>
      <c r="B17">
        <v>1</v>
      </c>
    </row>
    <row r="18" spans="1:2" x14ac:dyDescent="0.4">
      <c r="A18" s="230" t="s">
        <v>244</v>
      </c>
      <c r="B18">
        <v>1</v>
      </c>
    </row>
    <row r="19" spans="1:2" x14ac:dyDescent="0.4">
      <c r="A19" s="85" t="s">
        <v>0</v>
      </c>
      <c r="B19">
        <v>6</v>
      </c>
    </row>
    <row r="20" spans="1:2" x14ac:dyDescent="0.4">
      <c r="A20" s="230" t="s">
        <v>245</v>
      </c>
      <c r="B20">
        <v>1</v>
      </c>
    </row>
    <row r="21" spans="1:2" x14ac:dyDescent="0.4">
      <c r="A21" s="230" t="s">
        <v>246</v>
      </c>
      <c r="B21">
        <v>1</v>
      </c>
    </row>
    <row r="22" spans="1:2" x14ac:dyDescent="0.4">
      <c r="A22" s="230" t="s">
        <v>247</v>
      </c>
      <c r="B22">
        <v>1</v>
      </c>
    </row>
    <row r="23" spans="1:2" x14ac:dyDescent="0.4">
      <c r="A23" s="230" t="s">
        <v>248</v>
      </c>
      <c r="B23">
        <v>1</v>
      </c>
    </row>
    <row r="24" spans="1:2" x14ac:dyDescent="0.4">
      <c r="A24" s="230" t="s">
        <v>249</v>
      </c>
      <c r="B24">
        <v>1</v>
      </c>
    </row>
    <row r="25" spans="1:2" x14ac:dyDescent="0.4">
      <c r="A25" s="230" t="s">
        <v>52</v>
      </c>
      <c r="B25">
        <v>1</v>
      </c>
    </row>
    <row r="26" spans="1:2" x14ac:dyDescent="0.4">
      <c r="A26" s="85" t="s">
        <v>2</v>
      </c>
      <c r="B26">
        <v>2</v>
      </c>
    </row>
    <row r="27" spans="1:2" x14ac:dyDescent="0.4">
      <c r="A27" s="230" t="s">
        <v>250</v>
      </c>
      <c r="B27">
        <v>1</v>
      </c>
    </row>
    <row r="28" spans="1:2" x14ac:dyDescent="0.4">
      <c r="A28" s="230" t="s">
        <v>251</v>
      </c>
      <c r="B28">
        <v>1</v>
      </c>
    </row>
    <row r="29" spans="1:2" x14ac:dyDescent="0.4">
      <c r="A29" s="85" t="s">
        <v>229</v>
      </c>
      <c r="B29">
        <v>5</v>
      </c>
    </row>
    <row r="30" spans="1:2" x14ac:dyDescent="0.4">
      <c r="A30" s="230" t="s">
        <v>252</v>
      </c>
      <c r="B30">
        <v>1</v>
      </c>
    </row>
    <row r="31" spans="1:2" x14ac:dyDescent="0.4">
      <c r="A31" s="230" t="s">
        <v>253</v>
      </c>
      <c r="B31">
        <v>1</v>
      </c>
    </row>
    <row r="32" spans="1:2" x14ac:dyDescent="0.4">
      <c r="A32" s="230" t="s">
        <v>254</v>
      </c>
      <c r="B32">
        <v>1</v>
      </c>
    </row>
    <row r="33" spans="1:2" x14ac:dyDescent="0.4">
      <c r="A33" s="230" t="s">
        <v>255</v>
      </c>
      <c r="B33">
        <v>1</v>
      </c>
    </row>
    <row r="34" spans="1:2" x14ac:dyDescent="0.4">
      <c r="A34" s="230" t="s">
        <v>256</v>
      </c>
      <c r="B34">
        <v>1</v>
      </c>
    </row>
    <row r="35" spans="1:2" x14ac:dyDescent="0.4">
      <c r="A35" s="85" t="s">
        <v>257</v>
      </c>
      <c r="B35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운영지원금 산출내역</vt:lpstr>
      <vt:lpstr>조교인건비 내역</vt:lpstr>
      <vt:lpstr>대학별_재배정예산(종합)</vt:lpstr>
      <vt:lpstr>대학별 전공수</vt:lpstr>
      <vt:lpstr>'운영지원금 산출내역'!Print_Area</vt:lpstr>
      <vt:lpstr>'조교인건비 내역'!Print_Area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2025-10-02T04:11:38Z</cp:lastPrinted>
  <dcterms:created xsi:type="dcterms:W3CDTF">2025-10-02T01:55:06Z</dcterms:created>
  <dcterms:modified xsi:type="dcterms:W3CDTF">2025-12-17T05:20:57Z</dcterms:modified>
</cp:coreProperties>
</file>
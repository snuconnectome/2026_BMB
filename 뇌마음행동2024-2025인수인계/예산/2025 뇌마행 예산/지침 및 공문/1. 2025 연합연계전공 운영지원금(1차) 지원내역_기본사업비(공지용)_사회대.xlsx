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owner\Desktop\사회대교무(2018.7.16~)\6. 대학혁신지원사업_연합,연계 전공)\2025 (학부대학 이관 및 교육지원비로 비목 변경)\"/>
    </mc:Choice>
  </mc:AlternateContent>
  <xr:revisionPtr revIDLastSave="0" documentId="8_{0E6E05B8-EA74-4243-90E2-C44B3C0B220E}" xr6:coauthVersionLast="36" xr6:coauthVersionMax="36" xr10:uidLastSave="{00000000-0000-0000-0000-000000000000}"/>
  <bookViews>
    <workbookView xWindow="38280" yWindow="-120" windowWidth="38640" windowHeight="21120" xr2:uid="{00000000-000D-0000-FFFF-FFFF00000000}"/>
  </bookViews>
  <sheets>
    <sheet name="전공별 교육혁신 활동비 지원(안)" sheetId="1" r:id="rId1"/>
  </sheets>
  <definedNames>
    <definedName name="_xlnm._FilterDatabase" localSheetId="0" hidden="1">'전공별 교육혁신 활동비 지원(안)'!$A$4:$N$10</definedName>
    <definedName name="_xlnm.Print_Area" localSheetId="0">'전공별 교육혁신 활동비 지원(안)'!$A$2:$L$11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9" i="1"/>
  <c r="F10" i="1"/>
  <c r="F9" i="1"/>
  <c r="F6" i="1"/>
  <c r="J7" i="1" l="1"/>
  <c r="K7" i="1" s="1"/>
  <c r="J8" i="1" l="1"/>
  <c r="J5" i="1"/>
  <c r="K5" i="1" l="1"/>
  <c r="J6" i="1"/>
  <c r="J9" i="1"/>
  <c r="K8" i="1"/>
  <c r="K9" i="1"/>
  <c r="K6" i="1" l="1"/>
  <c r="K10" i="1" s="1"/>
  <c r="J10" i="1"/>
  <c r="G10" i="1"/>
</calcChain>
</file>

<file path=xl/sharedStrings.xml><?xml version="1.0" encoding="utf-8"?>
<sst xmlns="http://schemas.openxmlformats.org/spreadsheetml/2006/main" count="31" uniqueCount="30">
  <si>
    <t>[붙임 1]</t>
    <phoneticPr fontId="2" type="noConversion"/>
  </si>
  <si>
    <t>구분</t>
    <phoneticPr fontId="2" type="noConversion"/>
  </si>
  <si>
    <t>주관대학</t>
    <phoneticPr fontId="2" type="noConversion"/>
  </si>
  <si>
    <t>주관학과</t>
    <phoneticPr fontId="2" type="noConversion"/>
  </si>
  <si>
    <t>전공명칭</t>
    <phoneticPr fontId="2" type="noConversion"/>
  </si>
  <si>
    <t>시행시기</t>
    <phoneticPr fontId="2" type="noConversion"/>
  </si>
  <si>
    <t>계</t>
    <phoneticPr fontId="2" type="noConversion"/>
  </si>
  <si>
    <t>비고</t>
    <phoneticPr fontId="2" type="noConversion"/>
  </si>
  <si>
    <t>사회과학대학</t>
    <phoneticPr fontId="2" type="noConversion"/>
  </si>
  <si>
    <t>언론정보학과</t>
    <phoneticPr fontId="2" type="noConversion"/>
  </si>
  <si>
    <t>정보문화학</t>
    <phoneticPr fontId="2" type="noConversion"/>
  </si>
  <si>
    <t>2002-1학기</t>
  </si>
  <si>
    <t>2009-2학기</t>
  </si>
  <si>
    <t>사회과학대학</t>
    <phoneticPr fontId="2" type="noConversion"/>
  </si>
  <si>
    <t>심리학과</t>
    <phoneticPr fontId="2" type="noConversion"/>
  </si>
  <si>
    <t>뇌-마음-행동</t>
    <phoneticPr fontId="2" type="noConversion"/>
  </si>
  <si>
    <t>경제학부</t>
    <phoneticPr fontId="2" type="noConversion"/>
  </si>
  <si>
    <t>금융경제</t>
    <phoneticPr fontId="2" type="noConversion"/>
  </si>
  <si>
    <t>2009-1학기</t>
  </si>
  <si>
    <t>기본운영비
(B)</t>
    <phoneticPr fontId="2" type="noConversion"/>
  </si>
  <si>
    <t>전년도집행률
(C)</t>
    <phoneticPr fontId="2" type="noConversion"/>
  </si>
  <si>
    <t>연합전공 소계</t>
    <phoneticPr fontId="2" type="noConversion"/>
  </si>
  <si>
    <t>연계전공 소계</t>
    <phoneticPr fontId="2" type="noConversion"/>
  </si>
  <si>
    <t>전체 합계</t>
    <phoneticPr fontId="2" type="noConversion"/>
  </si>
  <si>
    <t>기본운영비 조정
(B'=B*C')</t>
    <phoneticPr fontId="2" type="noConversion"/>
  </si>
  <si>
    <t>전년도집행률 조정
(C')</t>
    <phoneticPr fontId="2" type="noConversion"/>
  </si>
  <si>
    <r>
      <t xml:space="preserve">재적생 수
</t>
    </r>
    <r>
      <rPr>
        <b/>
        <sz val="10"/>
        <rFont val="맑은 고딕"/>
        <family val="3"/>
        <charset val="129"/>
        <scheme val="minor"/>
      </rPr>
      <t>(A, 2025.3.7. 기준)</t>
    </r>
    <phoneticPr fontId="2" type="noConversion"/>
  </si>
  <si>
    <r>
      <t>2025학년도 연합</t>
    </r>
    <r>
      <rPr>
        <b/>
        <sz val="20"/>
        <color theme="1"/>
        <rFont val="맑은 고딕"/>
        <family val="3"/>
        <charset val="129"/>
      </rPr>
      <t>〮</t>
    </r>
    <r>
      <rPr>
        <b/>
        <sz val="20"/>
        <color theme="1"/>
        <rFont val="맑은 고딕"/>
        <family val="3"/>
        <charset val="129"/>
        <scheme val="minor"/>
      </rPr>
      <t>연계전공 운영지원금 지원(안)</t>
    </r>
    <phoneticPr fontId="2" type="noConversion"/>
  </si>
  <si>
    <t>연합전공</t>
    <phoneticPr fontId="2" type="noConversion"/>
  </si>
  <si>
    <t>연계전공(2개)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</si>
</sst>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double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double">
        <color theme="1"/>
      </bottom>
      <diagonal/>
    </border>
    <border>
      <left style="thin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theme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Border="1">
      <alignment vertical="center"/>
    </xf>
    <xf numFmtId="0" fontId="4" fillId="0" borderId="0" xfId="0" applyFont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3" fontId="0" fillId="0" borderId="0" xfId="0" applyNumberFormat="1">
      <alignment vertical="center"/>
    </xf>
    <xf numFmtId="0" fontId="0" fillId="0" borderId="0" xfId="0" applyFill="1">
      <alignment vertical="center"/>
    </xf>
    <xf numFmtId="41" fontId="6" fillId="0" borderId="0" xfId="0" applyNumberFormat="1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41" fontId="7" fillId="0" borderId="8" xfId="1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41" fontId="8" fillId="0" borderId="13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1" fontId="7" fillId="0" borderId="12" xfId="1" applyFont="1" applyFill="1" applyBorder="1" applyAlignment="1">
      <alignment horizontal="center" vertical="center" wrapText="1"/>
    </xf>
    <xf numFmtId="41" fontId="7" fillId="0" borderId="15" xfId="1" applyFont="1" applyFill="1" applyBorder="1" applyAlignment="1">
      <alignment horizontal="center" vertical="center" wrapText="1"/>
    </xf>
    <xf numFmtId="9" fontId="8" fillId="0" borderId="16" xfId="1" applyNumberFormat="1" applyFont="1" applyFill="1" applyBorder="1" applyAlignment="1">
      <alignment horizontal="center" vertical="center"/>
    </xf>
    <xf numFmtId="41" fontId="8" fillId="0" borderId="22" xfId="1" applyFont="1" applyFill="1" applyBorder="1" applyAlignment="1">
      <alignment horizontal="center" vertical="center"/>
    </xf>
    <xf numFmtId="41" fontId="7" fillId="2" borderId="21" xfId="1" applyFont="1" applyFill="1" applyBorder="1" applyAlignment="1">
      <alignment horizontal="center" vertical="center" wrapText="1"/>
    </xf>
    <xf numFmtId="41" fontId="7" fillId="2" borderId="18" xfId="1" applyFont="1" applyFill="1" applyBorder="1" applyAlignment="1">
      <alignment horizontal="center" vertical="center"/>
    </xf>
    <xf numFmtId="41" fontId="7" fillId="0" borderId="25" xfId="1" applyFont="1" applyFill="1" applyBorder="1" applyAlignment="1">
      <alignment horizontal="center" vertical="center" wrapText="1"/>
    </xf>
    <xf numFmtId="9" fontId="8" fillId="0" borderId="26" xfId="1" applyNumberFormat="1" applyFont="1" applyFill="1" applyBorder="1" applyAlignment="1">
      <alignment horizontal="center" vertical="center"/>
    </xf>
    <xf numFmtId="41" fontId="7" fillId="0" borderId="19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41" fontId="7" fillId="3" borderId="13" xfId="1" applyFont="1" applyFill="1" applyBorder="1" applyAlignment="1">
      <alignment horizontal="center" vertical="center"/>
    </xf>
    <xf numFmtId="9" fontId="7" fillId="3" borderId="16" xfId="1" applyNumberFormat="1" applyFont="1" applyFill="1" applyBorder="1" applyAlignment="1">
      <alignment horizontal="center" vertical="center"/>
    </xf>
    <xf numFmtId="9" fontId="7" fillId="3" borderId="26" xfId="1" applyNumberFormat="1" applyFont="1" applyFill="1" applyBorder="1" applyAlignment="1">
      <alignment horizontal="center" vertical="center"/>
    </xf>
    <xf numFmtId="41" fontId="7" fillId="3" borderId="22" xfId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41" fontId="7" fillId="3" borderId="16" xfId="1" applyFont="1" applyFill="1" applyBorder="1" applyAlignment="1">
      <alignment horizontal="center" vertical="center"/>
    </xf>
    <xf numFmtId="41" fontId="7" fillId="3" borderId="26" xfId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41" fontId="3" fillId="4" borderId="14" xfId="0" applyNumberFormat="1" applyFont="1" applyFill="1" applyBorder="1">
      <alignment vertical="center"/>
    </xf>
    <xf numFmtId="41" fontId="3" fillId="4" borderId="17" xfId="0" applyNumberFormat="1" applyFont="1" applyFill="1" applyBorder="1">
      <alignment vertical="center"/>
    </xf>
    <xf numFmtId="41" fontId="3" fillId="4" borderId="27" xfId="0" applyNumberFormat="1" applyFont="1" applyFill="1" applyBorder="1">
      <alignment vertical="center"/>
    </xf>
    <xf numFmtId="41" fontId="3" fillId="4" borderId="23" xfId="0" applyNumberFormat="1" applyFont="1" applyFill="1" applyBorder="1">
      <alignment vertical="center"/>
    </xf>
    <xf numFmtId="41" fontId="3" fillId="4" borderId="20" xfId="1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showGridLines="0" tabSelected="1" view="pageBreakPreview" topLeftCell="A2" zoomScale="85" zoomScaleNormal="85" zoomScaleSheetLayoutView="85" workbookViewId="0">
      <selection activeCell="C5" sqref="C5"/>
    </sheetView>
  </sheetViews>
  <sheetFormatPr defaultColWidth="9" defaultRowHeight="0" customHeight="1" zeroHeight="1" x14ac:dyDescent="0.3"/>
  <cols>
    <col min="1" max="1" width="10.5" customWidth="1"/>
    <col min="2" max="2" width="17.75" customWidth="1"/>
    <col min="3" max="3" width="24.125" customWidth="1"/>
    <col min="4" max="4" width="21" customWidth="1"/>
    <col min="5" max="5" width="12.5" customWidth="1"/>
    <col min="6" max="6" width="14.5" customWidth="1"/>
    <col min="7" max="7" width="16.875" customWidth="1"/>
    <col min="8" max="9" width="14.75" customWidth="1"/>
    <col min="10" max="10" width="16.875" customWidth="1"/>
    <col min="11" max="11" width="17.125" customWidth="1"/>
    <col min="12" max="12" width="11.375" style="4" customWidth="1"/>
    <col min="13" max="13" width="0.125" hidden="1" customWidth="1"/>
    <col min="16" max="16" width="13.625" bestFit="1" customWidth="1"/>
    <col min="17" max="17" width="10" bestFit="1" customWidth="1"/>
  </cols>
  <sheetData>
    <row r="1" spans="1:14" ht="23.25" hidden="1" customHeight="1" thickBot="1" x14ac:dyDescent="0.35">
      <c r="A1" s="1"/>
      <c r="B1" s="49"/>
      <c r="C1" s="49"/>
      <c r="D1" s="49"/>
      <c r="E1" s="49"/>
      <c r="F1" s="17"/>
      <c r="G1" s="2"/>
      <c r="H1" s="2"/>
      <c r="I1" s="2"/>
      <c r="J1" s="2"/>
      <c r="K1" s="3"/>
    </row>
    <row r="2" spans="1:14" ht="33.75" customHeight="1" x14ac:dyDescent="0.3">
      <c r="A2" s="1" t="s">
        <v>0</v>
      </c>
      <c r="B2" s="5"/>
      <c r="C2" s="5"/>
      <c r="D2" s="5"/>
      <c r="E2" s="5"/>
      <c r="F2" s="17"/>
      <c r="G2" s="2"/>
      <c r="H2" s="2"/>
      <c r="I2" s="2"/>
      <c r="J2" s="2"/>
      <c r="K2" s="3"/>
    </row>
    <row r="3" spans="1:14" ht="38.25" customHeight="1" thickBot="1" x14ac:dyDescent="0.35">
      <c r="A3" s="50" t="s">
        <v>27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4" ht="56.25" customHeight="1" thickBot="1" x14ac:dyDescent="0.35">
      <c r="A4" s="11" t="s">
        <v>1</v>
      </c>
      <c r="B4" s="12" t="s">
        <v>2</v>
      </c>
      <c r="C4" s="12" t="s">
        <v>3</v>
      </c>
      <c r="D4" s="12" t="s">
        <v>4</v>
      </c>
      <c r="E4" s="13" t="s">
        <v>5</v>
      </c>
      <c r="F4" s="27" t="s">
        <v>26</v>
      </c>
      <c r="G4" s="18" t="s">
        <v>19</v>
      </c>
      <c r="H4" s="19" t="s">
        <v>20</v>
      </c>
      <c r="I4" s="24" t="s">
        <v>25</v>
      </c>
      <c r="J4" s="22" t="s">
        <v>24</v>
      </c>
      <c r="K4" s="23" t="s">
        <v>6</v>
      </c>
      <c r="L4" s="14" t="s">
        <v>7</v>
      </c>
    </row>
    <row r="5" spans="1:14" ht="28.5" customHeight="1" thickTop="1" x14ac:dyDescent="0.3">
      <c r="A5" s="51" t="s">
        <v>28</v>
      </c>
      <c r="B5" s="10" t="s">
        <v>8</v>
      </c>
      <c r="C5" s="10" t="s">
        <v>9</v>
      </c>
      <c r="D5" s="10" t="s">
        <v>10</v>
      </c>
      <c r="E5" s="46" t="s">
        <v>11</v>
      </c>
      <c r="F5" s="28">
        <v>141</v>
      </c>
      <c r="G5" s="16">
        <v>3500000</v>
      </c>
      <c r="H5" s="20">
        <v>0.99</v>
      </c>
      <c r="I5" s="25">
        <v>1</v>
      </c>
      <c r="J5" s="21">
        <f>G5*I5</f>
        <v>3500000</v>
      </c>
      <c r="K5" s="26">
        <f t="shared" ref="K5" si="0">SUM(J5:J5)</f>
        <v>3500000</v>
      </c>
      <c r="L5" s="15"/>
      <c r="N5" s="6"/>
    </row>
    <row r="6" spans="1:14" ht="28.5" customHeight="1" x14ac:dyDescent="0.3">
      <c r="A6" s="52" t="s">
        <v>21</v>
      </c>
      <c r="B6" s="53"/>
      <c r="C6" s="53"/>
      <c r="D6" s="53"/>
      <c r="E6" s="53"/>
      <c r="F6" s="29" t="str">
        <f>SUM(F5:F5)&amp;"명"</f>
        <v>141명</v>
      </c>
      <c r="G6" s="30">
        <f>SUM(G5:G5)</f>
        <v>3500000</v>
      </c>
      <c r="H6" s="31"/>
      <c r="I6" s="32"/>
      <c r="J6" s="33">
        <f>SUM(J5:J5)</f>
        <v>3500000</v>
      </c>
      <c r="K6" s="33">
        <f>SUM(K5:K5)</f>
        <v>3500000</v>
      </c>
      <c r="L6" s="34"/>
      <c r="N6" s="6"/>
    </row>
    <row r="7" spans="1:14" ht="28.5" customHeight="1" x14ac:dyDescent="0.3">
      <c r="A7" s="54" t="s">
        <v>29</v>
      </c>
      <c r="B7" s="10" t="s">
        <v>8</v>
      </c>
      <c r="C7" s="10" t="s">
        <v>16</v>
      </c>
      <c r="D7" s="10" t="s">
        <v>17</v>
      </c>
      <c r="E7" s="10" t="s">
        <v>18</v>
      </c>
      <c r="F7" s="28">
        <v>246</v>
      </c>
      <c r="G7" s="16">
        <v>2500000</v>
      </c>
      <c r="H7" s="20">
        <v>1</v>
      </c>
      <c r="I7" s="25">
        <v>1</v>
      </c>
      <c r="J7" s="21">
        <f t="shared" ref="J7" si="1">G7*I7</f>
        <v>2500000</v>
      </c>
      <c r="K7" s="26">
        <f t="shared" ref="K7:K8" si="2">SUM(J7:J7)</f>
        <v>2500000</v>
      </c>
      <c r="L7" s="15"/>
      <c r="N7" s="6"/>
    </row>
    <row r="8" spans="1:14" ht="28.5" customHeight="1" x14ac:dyDescent="0.3">
      <c r="A8" s="54"/>
      <c r="B8" s="10" t="s">
        <v>13</v>
      </c>
      <c r="C8" s="10" t="s">
        <v>14</v>
      </c>
      <c r="D8" s="10" t="s">
        <v>15</v>
      </c>
      <c r="E8" s="10" t="s">
        <v>12</v>
      </c>
      <c r="F8" s="28">
        <v>74</v>
      </c>
      <c r="G8" s="16">
        <v>2500000</v>
      </c>
      <c r="H8" s="20">
        <v>1</v>
      </c>
      <c r="I8" s="25">
        <v>1</v>
      </c>
      <c r="J8" s="21">
        <f>G8*I8</f>
        <v>2500000</v>
      </c>
      <c r="K8" s="26">
        <f t="shared" si="2"/>
        <v>2500000</v>
      </c>
      <c r="L8" s="15"/>
      <c r="N8" s="6"/>
    </row>
    <row r="9" spans="1:14" ht="29.25" customHeight="1" x14ac:dyDescent="0.3">
      <c r="A9" s="52" t="s">
        <v>22</v>
      </c>
      <c r="B9" s="53"/>
      <c r="C9" s="53"/>
      <c r="D9" s="53"/>
      <c r="E9" s="53"/>
      <c r="F9" s="35" t="str">
        <f>SUM(F7:F8)&amp;"명"</f>
        <v>320명</v>
      </c>
      <c r="G9" s="30">
        <f>SUM(G7:G8)</f>
        <v>5000000</v>
      </c>
      <c r="H9" s="36"/>
      <c r="I9" s="37"/>
      <c r="J9" s="30">
        <f>SUM(J7:J8)</f>
        <v>5000000</v>
      </c>
      <c r="K9" s="30">
        <f>SUM(K7:K8)</f>
        <v>5000000</v>
      </c>
      <c r="L9" s="38"/>
      <c r="N9" s="6"/>
    </row>
    <row r="10" spans="1:14" ht="40.700000000000003" customHeight="1" thickBot="1" x14ac:dyDescent="0.35">
      <c r="A10" s="47" t="s">
        <v>23</v>
      </c>
      <c r="B10" s="48"/>
      <c r="C10" s="48"/>
      <c r="D10" s="48"/>
      <c r="E10" s="48"/>
      <c r="F10" s="39" t="str">
        <f>(SUM(F5:F5)+SUM(F7:F8))&amp;"명"</f>
        <v>461명</v>
      </c>
      <c r="G10" s="40">
        <f>G6+G9</f>
        <v>8500000</v>
      </c>
      <c r="H10" s="41"/>
      <c r="I10" s="42"/>
      <c r="J10" s="43">
        <f>J6+J9</f>
        <v>8500000</v>
      </c>
      <c r="K10" s="44">
        <f>K6+K9</f>
        <v>8500000</v>
      </c>
      <c r="L10" s="45"/>
      <c r="N10" s="6"/>
    </row>
    <row r="11" spans="1:14" ht="28.5" customHeight="1" x14ac:dyDescent="0.3">
      <c r="A11" s="7"/>
      <c r="B11" s="7"/>
      <c r="C11" s="7"/>
      <c r="D11" s="7"/>
      <c r="E11" s="7"/>
      <c r="F11" s="7"/>
      <c r="G11" s="8"/>
      <c r="H11" s="8"/>
      <c r="I11" s="8"/>
      <c r="J11" s="8"/>
      <c r="K11" s="8"/>
      <c r="L11" s="9"/>
    </row>
    <row r="12" spans="1:14" ht="16.5" customHeight="1" x14ac:dyDescent="0.3"/>
    <row r="13" spans="1:14" ht="16.5" customHeight="1" x14ac:dyDescent="0.3"/>
    <row r="14" spans="1:14" ht="16.5" customHeight="1" x14ac:dyDescent="0.3"/>
    <row r="15" spans="1:14" ht="16.5" customHeight="1" x14ac:dyDescent="0.3"/>
    <row r="16" spans="1:14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</sheetData>
  <mergeCells count="7">
    <mergeCell ref="A10:E10"/>
    <mergeCell ref="B1:E1"/>
    <mergeCell ref="A3:L3"/>
    <mergeCell ref="A5"/>
    <mergeCell ref="A6:E6"/>
    <mergeCell ref="A9:E9"/>
    <mergeCell ref="A7:A8"/>
  </mergeCells>
  <phoneticPr fontId="2" type="noConversion"/>
  <pageMargins left="0.25" right="0.25" top="0.75" bottom="0.75" header="0.3" footer="0.3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전공별 교육혁신 활동비 지원(안)</vt:lpstr>
      <vt:lpstr>'전공별 교육혁신 활동비 지원(안)'!Print_Area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owner</cp:lastModifiedBy>
  <cp:lastPrinted>2025-03-13T05:23:05Z</cp:lastPrinted>
  <dcterms:created xsi:type="dcterms:W3CDTF">2020-04-28T01:42:23Z</dcterms:created>
  <dcterms:modified xsi:type="dcterms:W3CDTF">2025-04-01T01:28:20Z</dcterms:modified>
</cp:coreProperties>
</file>
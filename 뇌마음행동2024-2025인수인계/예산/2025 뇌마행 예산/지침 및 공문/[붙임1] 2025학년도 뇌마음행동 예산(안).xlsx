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F7A02C23-94F1-4B2F-AFA7-ECAD65B937A8}" xr6:coauthVersionLast="36" xr6:coauthVersionMax="36" xr10:uidLastSave="{00000000-0000-0000-0000-000000000000}"/>
  <bookViews>
    <workbookView xWindow="30615" yWindow="-105" windowWidth="30930" windowHeight="16770" xr2:uid="{00000000-000D-0000-FFFF-FFFF00000000}"/>
  </bookViews>
  <sheets>
    <sheet name="뇌마음행동 예산(안)" sheetId="7" r:id="rId1"/>
    <sheet name="각목명세서(사회대_자체)" sheetId="9" r:id="rId2"/>
    <sheet name="운영지원금(1차,2차)" sheetId="6" state="hidden" r:id="rId3"/>
  </sheets>
  <definedNames>
    <definedName name="_xlnm._FilterDatabase" localSheetId="0" hidden="1">'뇌마음행동 예산(안)'!$A$5:$K$17</definedName>
    <definedName name="_xlnm._FilterDatabase" localSheetId="2" hidden="1">'운영지원금(1차,2차)'!$A$2:$S$25</definedName>
    <definedName name="_xlnm.Print_Area" localSheetId="1">'각목명세서(사회대_자체)'!$A$1:$C$15</definedName>
    <definedName name="_xlnm.Print_Area" localSheetId="0">'뇌마음행동 예산(안)'!$A$2:$H$17</definedName>
    <definedName name="_xlnm.Print_Area" localSheetId="2">'운영지원금(1차,2차)'!$A$2:$O$25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7" l="1"/>
  <c r="E15" i="7"/>
  <c r="F17" i="7"/>
  <c r="F16" i="7"/>
  <c r="E16" i="7"/>
  <c r="E17" i="7" s="1"/>
  <c r="F14" i="7"/>
  <c r="F12" i="7"/>
  <c r="E11" i="7"/>
  <c r="B12" i="9"/>
  <c r="J25" i="6" l="1"/>
  <c r="I25" i="6"/>
  <c r="M25" i="6" s="1"/>
  <c r="J24" i="6"/>
  <c r="I24" i="6"/>
  <c r="M24" i="6" s="1"/>
  <c r="J23" i="6"/>
  <c r="I23" i="6"/>
  <c r="M23" i="6" s="1"/>
  <c r="J22" i="6"/>
  <c r="I22" i="6"/>
  <c r="M22" i="6" s="1"/>
  <c r="J21" i="6"/>
  <c r="I21" i="6"/>
  <c r="M21" i="6" s="1"/>
  <c r="J20" i="6"/>
  <c r="I20" i="6"/>
  <c r="M20" i="6" s="1"/>
  <c r="J19" i="6"/>
  <c r="I19" i="6"/>
  <c r="J18" i="6"/>
  <c r="I18" i="6"/>
  <c r="M18" i="6" s="1"/>
  <c r="J17" i="6"/>
  <c r="I17" i="6"/>
  <c r="J16" i="6"/>
  <c r="I16" i="6"/>
  <c r="M16" i="6" s="1"/>
  <c r="J15" i="6"/>
  <c r="I15" i="6"/>
  <c r="J14" i="6"/>
  <c r="I14" i="6"/>
  <c r="J13" i="6"/>
  <c r="I13" i="6"/>
  <c r="M13" i="6" s="1"/>
  <c r="J12" i="6"/>
  <c r="I12" i="6"/>
  <c r="J11" i="6"/>
  <c r="I11" i="6"/>
  <c r="M11" i="6" s="1"/>
  <c r="J10" i="6"/>
  <c r="I10" i="6"/>
  <c r="M10" i="6" s="1"/>
  <c r="J9" i="6"/>
  <c r="I9" i="6"/>
  <c r="M9" i="6" s="1"/>
  <c r="J8" i="6"/>
  <c r="I8" i="6"/>
  <c r="M8" i="6" s="1"/>
  <c r="J7" i="6"/>
  <c r="I7" i="6"/>
  <c r="M7" i="6" s="1"/>
  <c r="J6" i="6"/>
  <c r="I6" i="6"/>
  <c r="M6" i="6" s="1"/>
  <c r="J5" i="6"/>
  <c r="I5" i="6"/>
  <c r="M5" i="6" s="1"/>
  <c r="J4" i="6"/>
  <c r="I4" i="6"/>
  <c r="M4" i="6" s="1"/>
  <c r="J3" i="6"/>
  <c r="I3" i="6"/>
  <c r="M12" i="6" l="1"/>
  <c r="M15" i="6"/>
  <c r="M17" i="6"/>
  <c r="M19" i="6"/>
  <c r="M3" i="6"/>
  <c r="M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E10" authorId="0" shapeId="0" xr:uid="{10082346-7547-48E0-AA91-571954AB49F5}">
      <text>
        <r>
          <rPr>
            <sz val="9"/>
            <color indexed="81"/>
            <rFont val="맑은 고딕"/>
            <family val="3"/>
            <charset val="129"/>
            <scheme val="minor"/>
          </rPr>
          <t>1) 기존 책정한 25.6-26.2월분
조교 수당 잔액 전용신청 필요</t>
        </r>
      </text>
    </comment>
    <comment ref="B12" authorId="0" shapeId="0" xr:uid="{A9025328-D6BC-4916-A3A5-C5706966D98B}">
      <text>
        <r>
          <rPr>
            <sz val="10"/>
            <color indexed="81"/>
            <rFont val="맑은 고딕"/>
            <family val="3"/>
            <charset val="129"/>
            <scheme val="minor"/>
          </rPr>
          <t>3) 사업 종료 후 2026.1.30.까지
결과보고서, 정산서 공문 제출</t>
        </r>
      </text>
    </comment>
    <comment ref="E14" authorId="0" shapeId="0" xr:uid="{0F8A70D1-566C-4F77-A87E-DCF28C53391A}">
      <text>
        <r>
          <rPr>
            <sz val="9"/>
            <color indexed="81"/>
            <rFont val="맑은 고딕"/>
            <family val="3"/>
            <charset val="129"/>
            <scheme val="minor"/>
          </rPr>
          <t>2) 예산 배정 전 2025.6.4.까지
각목명세서(세부내역) 공문 제출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2" authorId="0" shapeId="0" xr:uid="{9D58181F-3238-4FBB-9569-E8AD61E21E2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20% </t>
        </r>
        <r>
          <rPr>
            <b/>
            <sz val="9"/>
            <color indexed="81"/>
            <rFont val="돋움"/>
            <family val="3"/>
            <charset val="129"/>
          </rPr>
          <t>상향</t>
        </r>
      </text>
    </comment>
    <comment ref="L2" authorId="0" shapeId="0" xr:uid="{A9B1144A-6B11-4EF8-B18D-0B6ECA63FA66}">
      <text>
        <r>
          <rPr>
            <b/>
            <sz val="9"/>
            <color indexed="81"/>
            <rFont val="돋움"/>
            <family val="3"/>
            <charset val="129"/>
          </rPr>
          <t>연간 지원금 60만원 인상(140-&gt; 200만원)</t>
        </r>
      </text>
    </comment>
    <comment ref="N3" authorId="0" shapeId="0" xr:uid="{B1DA6F5A-09B2-4A9F-B8D4-5A7DF46F95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대학인문역량강화사업</t>
        </r>
        <r>
          <rPr>
            <sz val="9"/>
            <color indexed="81"/>
            <rFont val="Tahoma"/>
            <family val="2"/>
          </rPr>
          <t>(CORE)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신설된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동아시아비교인문학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정치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경제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철학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고전문헌학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인문데이터과학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24</t>
        </r>
        <r>
          <rPr>
            <sz val="9"/>
            <color indexed="81"/>
            <rFont val="돋움"/>
            <family val="3"/>
            <charset val="129"/>
          </rPr>
          <t>년까지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대학혁신지원사업의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인문대학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받았음</t>
        </r>
      </text>
    </comment>
  </commentList>
</comments>
</file>

<file path=xl/sharedStrings.xml><?xml version="1.0" encoding="utf-8"?>
<sst xmlns="http://schemas.openxmlformats.org/spreadsheetml/2006/main" count="162" uniqueCount="125">
  <si>
    <t>구분</t>
    <phoneticPr fontId="2" type="noConversion"/>
  </si>
  <si>
    <t>주관대학</t>
    <phoneticPr fontId="2" type="noConversion"/>
  </si>
  <si>
    <t>주관학과</t>
    <phoneticPr fontId="2" type="noConversion"/>
  </si>
  <si>
    <t>전공명칭</t>
    <phoneticPr fontId="2" type="noConversion"/>
  </si>
  <si>
    <t>시행시기</t>
    <phoneticPr fontId="2" type="noConversion"/>
  </si>
  <si>
    <t>신설 지원금</t>
    <phoneticPr fontId="2" type="noConversion"/>
  </si>
  <si>
    <t>계</t>
    <phoneticPr fontId="2" type="noConversion"/>
  </si>
  <si>
    <t>비고</t>
    <phoneticPr fontId="2" type="noConversion"/>
  </si>
  <si>
    <t>인문대학</t>
    <phoneticPr fontId="2" type="noConversion"/>
  </si>
  <si>
    <t>국사학과</t>
    <phoneticPr fontId="2" type="noConversion"/>
  </si>
  <si>
    <t>동아시아비교인문학</t>
    <phoneticPr fontId="2" type="noConversion"/>
  </si>
  <si>
    <t>2016-2학기</t>
  </si>
  <si>
    <t>사회과학대학</t>
    <phoneticPr fontId="2" type="noConversion"/>
  </si>
  <si>
    <t>언론정보학과</t>
    <phoneticPr fontId="2" type="noConversion"/>
  </si>
  <si>
    <t>정보문화학</t>
    <phoneticPr fontId="2" type="noConversion"/>
  </si>
  <si>
    <t>2002-1학기</t>
  </si>
  <si>
    <t>공과대학</t>
    <phoneticPr fontId="2" type="noConversion"/>
  </si>
  <si>
    <t>산업공학과</t>
    <phoneticPr fontId="2" type="noConversion"/>
  </si>
  <si>
    <t>기술경영</t>
    <phoneticPr fontId="2" type="noConversion"/>
  </si>
  <si>
    <t>전기·정보공학부</t>
  </si>
  <si>
    <t>인공지능반도체공학</t>
    <phoneticPr fontId="2" type="noConversion"/>
  </si>
  <si>
    <t>2020-1학기</t>
    <phoneticPr fontId="2" type="noConversion"/>
  </si>
  <si>
    <t>전기·정보공학부 및 컴퓨터공학부</t>
    <phoneticPr fontId="2" type="noConversion"/>
  </si>
  <si>
    <t>인공지능</t>
    <phoneticPr fontId="2" type="noConversion"/>
  </si>
  <si>
    <t>2020-2학기</t>
    <phoneticPr fontId="2" type="noConversion"/>
  </si>
  <si>
    <t>미술대학</t>
    <phoneticPr fontId="2" type="noConversion"/>
  </si>
  <si>
    <t>조소과</t>
    <phoneticPr fontId="2" type="noConversion"/>
  </si>
  <si>
    <t>영상매체예술</t>
    <phoneticPr fontId="2" type="noConversion"/>
  </si>
  <si>
    <t>2009-2학기</t>
  </si>
  <si>
    <t>글로벌환경경영학</t>
    <phoneticPr fontId="2" type="noConversion"/>
  </si>
  <si>
    <t>2010-2학기</t>
  </si>
  <si>
    <t>자연과학대학</t>
    <phoneticPr fontId="2" type="noConversion"/>
  </si>
  <si>
    <t>계산과학</t>
    <phoneticPr fontId="2" type="noConversion"/>
  </si>
  <si>
    <t>2011-1학기</t>
  </si>
  <si>
    <t>경영대학</t>
    <phoneticPr fontId="2" type="noConversion"/>
  </si>
  <si>
    <t>경영학과</t>
    <phoneticPr fontId="2" type="noConversion"/>
  </si>
  <si>
    <t>벤처경영학</t>
    <phoneticPr fontId="2" type="noConversion"/>
  </si>
  <si>
    <t>2014-1학기</t>
  </si>
  <si>
    <t>국어국문학과</t>
    <phoneticPr fontId="2" type="noConversion"/>
  </si>
  <si>
    <t>고전문헌학</t>
    <phoneticPr fontId="2" type="noConversion"/>
  </si>
  <si>
    <t>러시아학</t>
    <phoneticPr fontId="2" type="noConversion"/>
  </si>
  <si>
    <t>2010-1학기</t>
  </si>
  <si>
    <t>서어서문학과</t>
    <phoneticPr fontId="2" type="noConversion"/>
  </si>
  <si>
    <t>라틴아메리카학</t>
    <phoneticPr fontId="2" type="noConversion"/>
  </si>
  <si>
    <t>2012-1학기</t>
  </si>
  <si>
    <t>언어학과</t>
    <phoneticPr fontId="2" type="noConversion"/>
  </si>
  <si>
    <t>인문데이터과학</t>
    <phoneticPr fontId="2" type="noConversion"/>
  </si>
  <si>
    <t>유럽지역학</t>
    <phoneticPr fontId="2" type="noConversion"/>
  </si>
  <si>
    <t>심리학과</t>
    <phoneticPr fontId="2" type="noConversion"/>
  </si>
  <si>
    <t>뇌-마음-행동</t>
    <phoneticPr fontId="2" type="noConversion"/>
  </si>
  <si>
    <t>경제학부</t>
    <phoneticPr fontId="2" type="noConversion"/>
  </si>
  <si>
    <t>금융경제</t>
    <phoneticPr fontId="2" type="noConversion"/>
  </si>
  <si>
    <t>2009-1학기</t>
  </si>
  <si>
    <t>일본학</t>
    <phoneticPr fontId="2" type="noConversion"/>
  </si>
  <si>
    <t>수리과학부</t>
    <phoneticPr fontId="2" type="noConversion"/>
  </si>
  <si>
    <t>금융수학</t>
    <phoneticPr fontId="2" type="noConversion"/>
  </si>
  <si>
    <t>생명과학부</t>
    <phoneticPr fontId="2" type="noConversion"/>
  </si>
  <si>
    <t>과학기술학</t>
    <phoneticPr fontId="2" type="noConversion"/>
  </si>
  <si>
    <t>2015-2학기</t>
  </si>
  <si>
    <t>지능형통신</t>
    <phoneticPr fontId="2" type="noConversion"/>
  </si>
  <si>
    <t>2022-1학기</t>
    <phoneticPr fontId="2" type="noConversion"/>
  </si>
  <si>
    <t>미평가</t>
    <phoneticPr fontId="2" type="noConversion"/>
  </si>
  <si>
    <t>사범대학</t>
    <phoneticPr fontId="2" type="noConversion"/>
  </si>
  <si>
    <t>교육학과</t>
    <phoneticPr fontId="2" type="noConversion"/>
  </si>
  <si>
    <t>학습과학</t>
    <phoneticPr fontId="2" type="noConversion"/>
  </si>
  <si>
    <t>2023-2학기</t>
    <phoneticPr fontId="2" type="noConversion"/>
  </si>
  <si>
    <t>평가 등급별
 지원금</t>
    <phoneticPr fontId="2" type="noConversion"/>
  </si>
  <si>
    <t>기본운영비
(B)</t>
    <phoneticPr fontId="2" type="noConversion"/>
  </si>
  <si>
    <t>전년도집행률
(C)</t>
    <phoneticPr fontId="2" type="noConversion"/>
  </si>
  <si>
    <t>전체 합계</t>
    <phoneticPr fontId="2" type="noConversion"/>
  </si>
  <si>
    <t>전년도
지원금액</t>
    <phoneticPr fontId="2" type="noConversion"/>
  </si>
  <si>
    <t>기본운영비 조정
(B'=B*C')</t>
    <phoneticPr fontId="2" type="noConversion"/>
  </si>
  <si>
    <t>전년도집행률 조정
(C')</t>
    <phoneticPr fontId="2" type="noConversion"/>
  </si>
  <si>
    <t>인문대학</t>
  </si>
  <si>
    <t>철학과</t>
  </si>
  <si>
    <t>정치-경제-철학</t>
  </si>
  <si>
    <t>2024-2학기</t>
    <phoneticPr fontId="2" type="noConversion"/>
  </si>
  <si>
    <t>영화영상학</t>
    <phoneticPr fontId="2" type="noConversion"/>
  </si>
  <si>
    <t>2025-1학기</t>
    <phoneticPr fontId="2" type="noConversion"/>
  </si>
  <si>
    <t>재적생 기준
(A*36,000)</t>
    <phoneticPr fontId="2" type="noConversion"/>
  </si>
  <si>
    <t>학부대학</t>
    <phoneticPr fontId="2" type="noConversion"/>
  </si>
  <si>
    <t xml:space="preserve"> - </t>
    <phoneticPr fontId="2" type="noConversion"/>
  </si>
  <si>
    <r>
      <t xml:space="preserve">재적생 수
</t>
    </r>
    <r>
      <rPr>
        <b/>
        <sz val="10"/>
        <rFont val="맑은 고딕"/>
        <family val="3"/>
        <charset val="129"/>
        <scheme val="minor"/>
      </rPr>
      <t>(A, 2025.5.22.기준)</t>
    </r>
    <phoneticPr fontId="2" type="noConversion"/>
  </si>
  <si>
    <t>2025학년도 연계전공 뇌마음행동 예산(안)</t>
    <phoneticPr fontId="2" type="noConversion"/>
  </si>
  <si>
    <t>작성일: 2025. 5. 30.</t>
    <phoneticPr fontId="2" type="noConversion"/>
  </si>
  <si>
    <t>지급처</t>
    <phoneticPr fontId="2" type="noConversion"/>
  </si>
  <si>
    <t>사업명</t>
    <phoneticPr fontId="2" type="noConversion"/>
  </si>
  <si>
    <t>대학(원)운영및교육비(자체)</t>
    <phoneticPr fontId="2" type="noConversion"/>
  </si>
  <si>
    <t>예산과목</t>
    <phoneticPr fontId="2" type="noConversion"/>
  </si>
  <si>
    <t>배정액</t>
    <phoneticPr fontId="2" type="noConversion"/>
  </si>
  <si>
    <t>사회과학대학 소계</t>
    <phoneticPr fontId="2" type="noConversion"/>
  </si>
  <si>
    <t>1차 운영지원금</t>
    <phoneticPr fontId="2" type="noConversion"/>
  </si>
  <si>
    <t>2차 운영지원금</t>
    <phoneticPr fontId="2" type="noConversion"/>
  </si>
  <si>
    <t>학생조교 인건비</t>
    <phoneticPr fontId="2" type="noConversion"/>
  </si>
  <si>
    <t>-</t>
    <phoneticPr fontId="2" type="noConversion"/>
  </si>
  <si>
    <t>대학혁신지원사업</t>
    <phoneticPr fontId="2" type="noConversion"/>
  </si>
  <si>
    <t>학부대학 소계</t>
    <phoneticPr fontId="2" type="noConversion"/>
  </si>
  <si>
    <t>교육지원비</t>
    <phoneticPr fontId="2" type="noConversion"/>
  </si>
  <si>
    <t>6월 초 배정</t>
    <phoneticPr fontId="2" type="noConversion"/>
  </si>
  <si>
    <t>4월 초 배정</t>
    <phoneticPr fontId="2" type="noConversion"/>
  </si>
  <si>
    <t>기타운영비</t>
    <phoneticPr fontId="2" type="noConversion"/>
  </si>
  <si>
    <t>회의비</t>
  </si>
  <si>
    <t>회의비</t>
    <phoneticPr fontId="2" type="noConversion"/>
  </si>
  <si>
    <t>소모품비</t>
  </si>
  <si>
    <t>소모품비</t>
    <phoneticPr fontId="2" type="noConversion"/>
  </si>
  <si>
    <t>일반용역비</t>
    <phoneticPr fontId="2" type="noConversion"/>
  </si>
  <si>
    <t>일용임금기타인건비</t>
    <phoneticPr fontId="2" type="noConversion"/>
  </si>
  <si>
    <t>2025년도 법인회계 세출예산 각목명세서</t>
    <phoneticPr fontId="2" type="noConversion"/>
  </si>
  <si>
    <t xml:space="preserve">○ 소속 :  </t>
    <phoneticPr fontId="2" type="noConversion"/>
  </si>
  <si>
    <t>연계전공 뇌-마음-행동</t>
    <phoneticPr fontId="2" type="noConversion"/>
  </si>
  <si>
    <t xml:space="preserve">○ 사업 :  </t>
    <phoneticPr fontId="2" type="noConversion"/>
  </si>
  <si>
    <t>대학(원)운영 및 교육비(자체)</t>
    <phoneticPr fontId="2" type="noConversion"/>
  </si>
  <si>
    <t>과 목</t>
  </si>
  <si>
    <t>요구액(원)</t>
    <phoneticPr fontId="2" type="noConversion"/>
  </si>
  <si>
    <t>산출내역(원)</t>
    <phoneticPr fontId="2" type="noConversion"/>
  </si>
  <si>
    <t>○ 외부 초청 강연: 200,000원 * 1회 = 200,000원</t>
  </si>
  <si>
    <t>○ 연계전공 조교수당: 300,000원 * 12개월 = 3,600,000원</t>
  </si>
  <si>
    <t>○ 사무용품, 토너, 복사용지, 실험복 등</t>
  </si>
  <si>
    <t>○ 연계전공 주임교수 회의 등</t>
  </si>
  <si>
    <t xml:space="preserve">기타운영비   </t>
    <phoneticPr fontId="2" type="noConversion"/>
  </si>
  <si>
    <t>○ 기타 운영 소요 경비</t>
    <phoneticPr fontId="2" type="noConversion"/>
  </si>
  <si>
    <t>계</t>
  </si>
  <si>
    <t>1학기 70%, 
2학기 30% 배정</t>
    <phoneticPr fontId="2" type="noConversion"/>
  </si>
  <si>
    <t>※ 회의비 등 소모성 경비: 전년도 각목명세서 제출금액 대비 증액 불가, 편성이후 증액 불가</t>
    <phoneticPr fontId="2" type="noConversion"/>
  </si>
  <si>
    <t>운영지원금 소계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</si>
</sst>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indexed="8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double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double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double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double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theme="1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double">
        <color theme="1"/>
      </bottom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0" fillId="0" borderId="0" xfId="0" applyBorder="1">
      <alignment vertical="center"/>
    </xf>
    <xf numFmtId="0" fontId="4" fillId="0" borderId="0" xfId="0" applyFont="1" applyBorder="1">
      <alignment vertical="center"/>
    </xf>
    <xf numFmtId="41" fontId="5" fillId="2" borderId="0" xfId="1" applyFont="1" applyFill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43" fontId="0" fillId="0" borderId="0" xfId="0" applyNumberFormat="1">
      <alignment vertical="center"/>
    </xf>
    <xf numFmtId="0" fontId="0" fillId="0" borderId="0" xfId="0" applyFill="1">
      <alignment vertical="center"/>
    </xf>
    <xf numFmtId="41" fontId="7" fillId="0" borderId="0" xfId="0" applyNumberFormat="1" applyFont="1" applyFill="1" applyBorder="1">
      <alignment vertical="center"/>
    </xf>
    <xf numFmtId="0" fontId="0" fillId="0" borderId="0" xfId="0" applyFill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2" xfId="1" applyNumberFormat="1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9" fontId="9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41" fontId="8" fillId="0" borderId="5" xfId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41" fontId="9" fillId="0" borderId="11" xfId="1" applyFont="1" applyFill="1" applyBorder="1" applyAlignment="1">
      <alignment horizontal="center" vertical="center"/>
    </xf>
    <xf numFmtId="41" fontId="8" fillId="0" borderId="10" xfId="1" applyFont="1" applyFill="1" applyBorder="1" applyAlignment="1">
      <alignment horizontal="center" vertical="center" wrapText="1"/>
    </xf>
    <xf numFmtId="41" fontId="8" fillId="0" borderId="12" xfId="1" applyFont="1" applyFill="1" applyBorder="1" applyAlignment="1">
      <alignment horizontal="center" vertical="center" wrapText="1"/>
    </xf>
    <xf numFmtId="9" fontId="9" fillId="0" borderId="14" xfId="1" applyNumberFormat="1" applyFont="1" applyFill="1" applyBorder="1" applyAlignment="1">
      <alignment horizontal="center" vertical="center"/>
    </xf>
    <xf numFmtId="41" fontId="9" fillId="0" borderId="19" xfId="1" applyFont="1" applyFill="1" applyBorder="1" applyAlignment="1">
      <alignment horizontal="center" vertical="center"/>
    </xf>
    <xf numFmtId="41" fontId="9" fillId="2" borderId="19" xfId="1" applyFont="1" applyFill="1" applyBorder="1" applyAlignment="1">
      <alignment horizontal="center" vertical="center"/>
    </xf>
    <xf numFmtId="41" fontId="9" fillId="3" borderId="19" xfId="1" applyFont="1" applyFill="1" applyBorder="1" applyAlignment="1">
      <alignment horizontal="center" vertical="center"/>
    </xf>
    <xf numFmtId="41" fontId="8" fillId="4" borderId="17" xfId="1" applyFont="1" applyFill="1" applyBorder="1" applyAlignment="1">
      <alignment horizontal="center" vertical="center" wrapText="1"/>
    </xf>
    <xf numFmtId="41" fontId="8" fillId="4" borderId="17" xfId="1" applyFont="1" applyFill="1" applyBorder="1" applyAlignment="1">
      <alignment horizontal="center" vertical="center"/>
    </xf>
    <xf numFmtId="41" fontId="8" fillId="4" borderId="15" xfId="1" applyFont="1" applyFill="1" applyBorder="1" applyAlignment="1">
      <alignment horizontal="center" vertical="center"/>
    </xf>
    <xf numFmtId="41" fontId="9" fillId="0" borderId="21" xfId="0" applyNumberFormat="1" applyFont="1" applyFill="1" applyBorder="1" applyAlignment="1">
      <alignment horizontal="center" vertical="center"/>
    </xf>
    <xf numFmtId="41" fontId="9" fillId="0" borderId="22" xfId="0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41" fontId="9" fillId="0" borderId="21" xfId="0" quotePrefix="1" applyNumberFormat="1" applyFont="1" applyFill="1" applyBorder="1" applyAlignment="1">
      <alignment horizontal="center" vertical="center"/>
    </xf>
    <xf numFmtId="41" fontId="8" fillId="0" borderId="24" xfId="1" applyFont="1" applyFill="1" applyBorder="1" applyAlignment="1">
      <alignment horizontal="center" vertical="center" wrapText="1"/>
    </xf>
    <xf numFmtId="9" fontId="9" fillId="0" borderId="25" xfId="1" applyNumberFormat="1" applyFont="1" applyFill="1" applyBorder="1" applyAlignment="1">
      <alignment horizontal="center" vertical="center"/>
    </xf>
    <xf numFmtId="9" fontId="9" fillId="0" borderId="25" xfId="1" quotePrefix="1" applyNumberFormat="1" applyFont="1" applyFill="1" applyBorder="1" applyAlignment="1">
      <alignment horizontal="center" vertical="center"/>
    </xf>
    <xf numFmtId="41" fontId="8" fillId="0" borderId="26" xfId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1" applyNumberFormat="1" applyFont="1" applyFill="1" applyBorder="1" applyAlignment="1">
      <alignment horizontal="center" vertical="center"/>
    </xf>
    <xf numFmtId="41" fontId="9" fillId="0" borderId="18" xfId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1" fontId="8" fillId="0" borderId="16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9" fontId="9" fillId="0" borderId="29" xfId="1" applyNumberFormat="1" applyFont="1" applyFill="1" applyBorder="1" applyAlignment="1">
      <alignment horizontal="center" vertical="center"/>
    </xf>
    <xf numFmtId="9" fontId="9" fillId="0" borderId="28" xfId="1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4" xfId="0" quotePrefix="1" applyFont="1" applyFill="1" applyBorder="1" applyAlignment="1">
      <alignment horizontal="center" vertical="center"/>
    </xf>
    <xf numFmtId="41" fontId="9" fillId="0" borderId="21" xfId="1" applyFont="1" applyFill="1" applyBorder="1" applyAlignment="1">
      <alignment horizontal="center" vertical="center"/>
    </xf>
    <xf numFmtId="41" fontId="9" fillId="0" borderId="20" xfId="0" applyNumberFormat="1" applyFont="1" applyFill="1" applyBorder="1" applyAlignment="1">
      <alignment horizontal="center" vertical="center"/>
    </xf>
    <xf numFmtId="41" fontId="9" fillId="7" borderId="19" xfId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1" fontId="8" fillId="0" borderId="32" xfId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41" fontId="8" fillId="0" borderId="32" xfId="1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1" fontId="3" fillId="0" borderId="0" xfId="1" applyFont="1">
      <alignment vertical="center"/>
    </xf>
    <xf numFmtId="0" fontId="18" fillId="0" borderId="0" xfId="0" applyFont="1">
      <alignment vertical="center"/>
    </xf>
    <xf numFmtId="0" fontId="7" fillId="0" borderId="0" xfId="0" applyFont="1" applyAlignment="1">
      <alignment vertical="center" wrapText="1"/>
    </xf>
    <xf numFmtId="41" fontId="0" fillId="0" borderId="0" xfId="1" applyFont="1">
      <alignment vertical="center"/>
    </xf>
    <xf numFmtId="0" fontId="19" fillId="0" borderId="41" xfId="0" applyFont="1" applyBorder="1" applyAlignment="1">
      <alignment horizontal="center" vertical="center" wrapText="1"/>
    </xf>
    <xf numFmtId="41" fontId="19" fillId="0" borderId="42" xfId="1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1" fontId="20" fillId="0" borderId="38" xfId="1" applyFont="1" applyBorder="1" applyAlignment="1">
      <alignment horizontal="center" vertical="center" wrapText="1"/>
    </xf>
    <xf numFmtId="0" fontId="20" fillId="0" borderId="44" xfId="0" applyFont="1" applyBorder="1" applyAlignment="1">
      <alignment horizontal="justify" vertical="center" wrapText="1"/>
    </xf>
    <xf numFmtId="0" fontId="20" fillId="0" borderId="45" xfId="0" applyFont="1" applyBorder="1" applyAlignment="1">
      <alignment horizontal="center" vertical="center" wrapText="1"/>
    </xf>
    <xf numFmtId="41" fontId="20" fillId="0" borderId="31" xfId="1" applyFont="1" applyBorder="1" applyAlignment="1">
      <alignment horizontal="center" vertical="center" wrapText="1"/>
    </xf>
    <xf numFmtId="0" fontId="20" fillId="0" borderId="46" xfId="0" applyFont="1" applyBorder="1" applyAlignment="1">
      <alignment horizontal="justify" vertical="center" wrapText="1"/>
    </xf>
    <xf numFmtId="0" fontId="21" fillId="0" borderId="45" xfId="0" applyFont="1" applyBorder="1" applyAlignment="1">
      <alignment horizontal="center" vertical="center" wrapText="1"/>
    </xf>
    <xf numFmtId="41" fontId="21" fillId="0" borderId="31" xfId="1" applyFont="1" applyBorder="1" applyAlignment="1">
      <alignment horizontal="center" vertical="center" wrapText="1"/>
    </xf>
    <xf numFmtId="0" fontId="21" fillId="0" borderId="46" xfId="0" applyFont="1" applyBorder="1" applyAlignment="1">
      <alignment horizontal="justify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0" fillId="0" borderId="47" xfId="0" applyFont="1" applyBorder="1" applyAlignment="1">
      <alignment horizontal="center" vertical="center" wrapText="1"/>
    </xf>
    <xf numFmtId="41" fontId="20" fillId="0" borderId="48" xfId="1" applyFont="1" applyBorder="1" applyAlignment="1">
      <alignment horizontal="center" vertical="center" wrapText="1"/>
    </xf>
    <xf numFmtId="0" fontId="20" fillId="0" borderId="49" xfId="0" applyFont="1" applyBorder="1" applyAlignment="1">
      <alignment horizontal="justify" vertical="center" wrapText="1"/>
    </xf>
    <xf numFmtId="0" fontId="20" fillId="0" borderId="50" xfId="0" applyFont="1" applyBorder="1" applyAlignment="1">
      <alignment horizontal="center" vertical="center" wrapText="1"/>
    </xf>
    <xf numFmtId="41" fontId="20" fillId="0" borderId="51" xfId="1" applyFont="1" applyBorder="1" applyAlignment="1">
      <alignment horizontal="center" vertical="center" wrapText="1"/>
    </xf>
    <xf numFmtId="0" fontId="20" fillId="0" borderId="52" xfId="0" applyFont="1" applyBorder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20" fillId="4" borderId="45" xfId="0" applyFont="1" applyFill="1" applyBorder="1" applyAlignment="1">
      <alignment horizontal="center" vertical="center" wrapText="1"/>
    </xf>
    <xf numFmtId="41" fontId="20" fillId="4" borderId="31" xfId="1" applyFont="1" applyFill="1" applyBorder="1" applyAlignment="1">
      <alignment horizontal="center" vertical="center" wrapText="1"/>
    </xf>
    <xf numFmtId="41" fontId="9" fillId="0" borderId="34" xfId="0" applyNumberFormat="1" applyFont="1" applyFill="1" applyBorder="1" applyAlignment="1">
      <alignment horizontal="center" vertical="center"/>
    </xf>
    <xf numFmtId="41" fontId="9" fillId="0" borderId="8" xfId="0" applyNumberFormat="1" applyFont="1" applyFill="1" applyBorder="1" applyAlignment="1">
      <alignment horizontal="center" vertical="center"/>
    </xf>
    <xf numFmtId="41" fontId="9" fillId="0" borderId="6" xfId="0" applyNumberFormat="1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55" xfId="0" applyFont="1" applyFill="1" applyBorder="1" applyAlignment="1">
      <alignment horizontal="center" vertical="center"/>
    </xf>
    <xf numFmtId="0" fontId="24" fillId="0" borderId="53" xfId="0" applyFont="1" applyFill="1" applyBorder="1" applyAlignment="1">
      <alignment horizontal="center" vertical="center"/>
    </xf>
    <xf numFmtId="0" fontId="24" fillId="0" borderId="38" xfId="0" applyFont="1" applyFill="1" applyBorder="1" applyAlignment="1">
      <alignment horizontal="center" vertical="center"/>
    </xf>
    <xf numFmtId="0" fontId="24" fillId="0" borderId="37" xfId="0" applyFont="1" applyFill="1" applyBorder="1" applyAlignment="1">
      <alignment horizontal="center" vertical="center" wrapText="1"/>
    </xf>
    <xf numFmtId="0" fontId="20" fillId="4" borderId="46" xfId="0" applyFont="1" applyFill="1" applyBorder="1" applyAlignment="1">
      <alignment horizontal="justify" vertical="center" wrapText="1"/>
    </xf>
    <xf numFmtId="41" fontId="9" fillId="0" borderId="6" xfId="1" applyFont="1" applyFill="1" applyBorder="1" applyAlignment="1">
      <alignment vertical="center"/>
    </xf>
    <xf numFmtId="0" fontId="9" fillId="0" borderId="3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41" fontId="25" fillId="0" borderId="7" xfId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41" fontId="9" fillId="0" borderId="32" xfId="0" applyNumberFormat="1" applyFont="1" applyFill="1" applyBorder="1" applyAlignment="1">
      <alignment horizontal="center" vertical="center"/>
    </xf>
    <xf numFmtId="41" fontId="9" fillId="0" borderId="56" xfId="1" applyFont="1" applyBorder="1" applyAlignment="1">
      <alignment vertical="center"/>
    </xf>
    <xf numFmtId="41" fontId="8" fillId="0" borderId="56" xfId="1" applyFont="1" applyBorder="1" applyAlignment="1">
      <alignment vertical="center"/>
    </xf>
    <xf numFmtId="41" fontId="9" fillId="0" borderId="56" xfId="1" applyFont="1" applyFill="1" applyBorder="1" applyAlignment="1">
      <alignment vertical="center"/>
    </xf>
    <xf numFmtId="0" fontId="8" fillId="4" borderId="39" xfId="0" applyFont="1" applyFill="1" applyBorder="1" applyAlignment="1">
      <alignment horizontal="center" vertical="center"/>
    </xf>
    <xf numFmtId="41" fontId="8" fillId="6" borderId="56" xfId="1" applyFont="1" applyFill="1" applyBorder="1" applyAlignment="1">
      <alignment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3" fillId="5" borderId="57" xfId="0" applyFont="1" applyFill="1" applyBorder="1" applyAlignment="1">
      <alignment horizontal="center" vertical="center"/>
    </xf>
    <xf numFmtId="41" fontId="3" fillId="5" borderId="40" xfId="0" applyNumberFormat="1" applyFont="1" applyFill="1" applyBorder="1" applyAlignment="1">
      <alignment vertical="center"/>
    </xf>
    <xf numFmtId="41" fontId="9" fillId="0" borderId="34" xfId="1" applyFont="1" applyBorder="1" applyAlignment="1">
      <alignment vertical="center"/>
    </xf>
    <xf numFmtId="41" fontId="9" fillId="6" borderId="30" xfId="1" applyFont="1" applyFill="1" applyBorder="1" applyAlignment="1">
      <alignment horizontal="center" vertical="center"/>
    </xf>
    <xf numFmtId="41" fontId="9" fillId="6" borderId="54" xfId="1" applyFont="1" applyFill="1" applyBorder="1" applyAlignment="1">
      <alignment horizontal="center" vertical="center"/>
    </xf>
    <xf numFmtId="41" fontId="9" fillId="5" borderId="35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806E-8DE1-4717-A1F2-CA34185E3705}">
  <sheetPr>
    <tabColor rgb="FF00B0F0"/>
    <pageSetUpPr fitToPage="1"/>
  </sheetPr>
  <dimension ref="A1:Q30"/>
  <sheetViews>
    <sheetView showGridLines="0" tabSelected="1" view="pageBreakPreview" topLeftCell="A5" zoomScaleNormal="85" zoomScaleSheetLayoutView="100" workbookViewId="0">
      <selection activeCell="B12" sqref="B12:B15"/>
    </sheetView>
  </sheetViews>
  <sheetFormatPr defaultColWidth="9" defaultRowHeight="0" customHeight="1" zeroHeight="1"/>
  <cols>
    <col min="1" max="1" width="14.5" bestFit="1" customWidth="1"/>
    <col min="2" max="2" width="28.625" customWidth="1"/>
    <col min="3" max="3" width="20.625" customWidth="1"/>
    <col min="4" max="4" width="25.625" customWidth="1"/>
    <col min="5" max="5" width="20.625" customWidth="1"/>
    <col min="6" max="6" width="15.625" customWidth="1"/>
    <col min="7" max="7" width="15.625" style="5" customWidth="1"/>
    <col min="8" max="8" width="0.125" customWidth="1"/>
    <col min="11" max="11" width="13.75" bestFit="1" customWidth="1"/>
    <col min="12" max="12" width="10" bestFit="1" customWidth="1"/>
  </cols>
  <sheetData>
    <row r="1" spans="1:9" ht="23.25" hidden="1" customHeight="1">
      <c r="A1" s="1"/>
      <c r="B1" s="61"/>
      <c r="C1" s="61"/>
      <c r="D1" s="61"/>
      <c r="E1" s="61"/>
      <c r="F1" s="4"/>
    </row>
    <row r="2" spans="1:9" ht="20.25" customHeight="1">
      <c r="A2" s="1"/>
      <c r="B2" s="59"/>
      <c r="C2" s="59"/>
      <c r="D2" s="59"/>
      <c r="E2" s="59"/>
      <c r="F2" s="4"/>
    </row>
    <row r="3" spans="1:9" ht="31.5" customHeight="1">
      <c r="A3" s="62" t="s">
        <v>83</v>
      </c>
      <c r="B3" s="62"/>
      <c r="C3" s="62"/>
      <c r="D3" s="62"/>
      <c r="E3" s="62"/>
      <c r="F3" s="62"/>
      <c r="G3" s="62"/>
    </row>
    <row r="4" spans="1:9" ht="21.6" customHeight="1" thickBot="1">
      <c r="A4" s="60"/>
      <c r="B4" s="60"/>
      <c r="C4" s="60"/>
      <c r="D4" s="60"/>
      <c r="E4" s="60"/>
      <c r="F4" s="60"/>
      <c r="G4" s="57" t="s">
        <v>84</v>
      </c>
    </row>
    <row r="5" spans="1:9" ht="56.25" customHeight="1">
      <c r="A5" s="64" t="s">
        <v>85</v>
      </c>
      <c r="B5" s="64" t="s">
        <v>86</v>
      </c>
      <c r="C5" s="64" t="s">
        <v>0</v>
      </c>
      <c r="D5" s="117" t="s">
        <v>88</v>
      </c>
      <c r="E5" s="125" t="s">
        <v>89</v>
      </c>
      <c r="F5" s="69" t="s">
        <v>70</v>
      </c>
      <c r="G5" s="63" t="s">
        <v>7</v>
      </c>
    </row>
    <row r="6" spans="1:9" ht="28.5" customHeight="1">
      <c r="A6" s="66" t="s">
        <v>12</v>
      </c>
      <c r="B6" s="68" t="s">
        <v>87</v>
      </c>
      <c r="C6" s="68" t="s">
        <v>94</v>
      </c>
      <c r="D6" s="112" t="s">
        <v>100</v>
      </c>
      <c r="E6" s="124">
        <v>800000</v>
      </c>
      <c r="F6" s="121">
        <v>5000000</v>
      </c>
      <c r="G6" s="109" t="s">
        <v>122</v>
      </c>
      <c r="I6" s="6"/>
    </row>
    <row r="7" spans="1:9" ht="28.5" customHeight="1">
      <c r="A7" s="66"/>
      <c r="B7" s="68"/>
      <c r="C7" s="68"/>
      <c r="D7" s="112" t="s">
        <v>102</v>
      </c>
      <c r="E7" s="124">
        <v>180000</v>
      </c>
      <c r="F7" s="103"/>
      <c r="G7" s="107"/>
      <c r="I7" s="6"/>
    </row>
    <row r="8" spans="1:9" ht="28.5" customHeight="1">
      <c r="A8" s="66"/>
      <c r="B8" s="68"/>
      <c r="C8" s="68"/>
      <c r="D8" s="112" t="s">
        <v>104</v>
      </c>
      <c r="E8" s="124">
        <v>220000</v>
      </c>
      <c r="F8" s="103"/>
      <c r="G8" s="107"/>
      <c r="I8" s="6"/>
    </row>
    <row r="9" spans="1:9" ht="28.5" customHeight="1">
      <c r="A9" s="66"/>
      <c r="B9" s="68"/>
      <c r="C9" s="68"/>
      <c r="D9" s="112" t="s">
        <v>105</v>
      </c>
      <c r="E9" s="124">
        <v>200000</v>
      </c>
      <c r="F9" s="103"/>
      <c r="G9" s="107"/>
      <c r="I9" s="6"/>
    </row>
    <row r="10" spans="1:9" ht="28.5" customHeight="1">
      <c r="A10" s="66"/>
      <c r="B10" s="68"/>
      <c r="C10" s="68"/>
      <c r="D10" s="112" t="s">
        <v>106</v>
      </c>
      <c r="E10" s="124">
        <v>3600000</v>
      </c>
      <c r="F10" s="104"/>
      <c r="G10" s="108"/>
      <c r="I10" s="6"/>
    </row>
    <row r="11" spans="1:9" ht="30" customHeight="1">
      <c r="A11" s="105" t="s">
        <v>90</v>
      </c>
      <c r="B11" s="106"/>
      <c r="C11" s="106"/>
      <c r="D11" s="106"/>
      <c r="E11" s="126">
        <f>SUM($E$6:$E$10)</f>
        <v>5000000</v>
      </c>
      <c r="F11" s="133">
        <v>5000000</v>
      </c>
      <c r="G11" s="115"/>
      <c r="I11" s="6"/>
    </row>
    <row r="12" spans="1:9" ht="28.5" customHeight="1">
      <c r="A12" s="70" t="s">
        <v>80</v>
      </c>
      <c r="B12" s="71" t="s">
        <v>95</v>
      </c>
      <c r="C12" s="72" t="s">
        <v>91</v>
      </c>
      <c r="D12" s="118" t="s">
        <v>97</v>
      </c>
      <c r="E12" s="122">
        <v>2500000</v>
      </c>
      <c r="F12" s="102">
        <f>7090000+4150000</f>
        <v>11240000</v>
      </c>
      <c r="G12" s="114" t="s">
        <v>99</v>
      </c>
      <c r="I12" s="6"/>
    </row>
    <row r="13" spans="1:9" ht="28.5" customHeight="1">
      <c r="A13" s="70"/>
      <c r="B13" s="71"/>
      <c r="C13" s="65" t="s">
        <v>92</v>
      </c>
      <c r="D13" s="119"/>
      <c r="E13" s="122">
        <v>9628000</v>
      </c>
      <c r="F13" s="102"/>
      <c r="G13" s="114" t="s">
        <v>98</v>
      </c>
      <c r="I13" s="6"/>
    </row>
    <row r="14" spans="1:9" ht="28.5" customHeight="1">
      <c r="A14" s="70"/>
      <c r="B14" s="71"/>
      <c r="C14" s="113" t="s">
        <v>124</v>
      </c>
      <c r="D14" s="120"/>
      <c r="E14" s="123">
        <f>SUM(E12:E13)</f>
        <v>12128000</v>
      </c>
      <c r="F14" s="131">
        <f>SUM(F12:F13)</f>
        <v>11240000</v>
      </c>
      <c r="G14" s="116"/>
      <c r="I14" s="6"/>
    </row>
    <row r="15" spans="1:9" ht="28.5" customHeight="1">
      <c r="A15" s="70"/>
      <c r="B15" s="71"/>
      <c r="C15" s="65" t="s">
        <v>93</v>
      </c>
      <c r="D15" s="112" t="s">
        <v>97</v>
      </c>
      <c r="E15" s="122">
        <f>800000*2*9</f>
        <v>14400000</v>
      </c>
      <c r="F15" s="111">
        <v>0</v>
      </c>
      <c r="G15" s="114" t="s">
        <v>98</v>
      </c>
      <c r="I15" s="6"/>
    </row>
    <row r="16" spans="1:9" ht="30" customHeight="1">
      <c r="A16" s="105" t="s">
        <v>96</v>
      </c>
      <c r="B16" s="106"/>
      <c r="C16" s="106"/>
      <c r="D16" s="106"/>
      <c r="E16" s="126">
        <f>SUM($E$12:$E$13,$E$15)</f>
        <v>26528000</v>
      </c>
      <c r="F16" s="132">
        <f>$F$14</f>
        <v>11240000</v>
      </c>
      <c r="G16" s="37"/>
      <c r="I16" s="6"/>
    </row>
    <row r="17" spans="1:9" ht="30" customHeight="1" thickBot="1">
      <c r="A17" s="127" t="s">
        <v>69</v>
      </c>
      <c r="B17" s="128"/>
      <c r="C17" s="128"/>
      <c r="D17" s="129"/>
      <c r="E17" s="130">
        <f>SUM($E$11,$E$16)</f>
        <v>31528000</v>
      </c>
      <c r="F17" s="134">
        <f>SUM($F$11,$F$16)</f>
        <v>16240000</v>
      </c>
      <c r="G17" s="67"/>
      <c r="I17" s="6"/>
    </row>
    <row r="18" spans="1:9" ht="28.5" customHeight="1">
      <c r="A18" s="7"/>
      <c r="B18" s="7"/>
      <c r="C18" s="7"/>
      <c r="D18" s="7"/>
      <c r="E18" s="7"/>
      <c r="F18" s="8"/>
      <c r="G18" s="9"/>
    </row>
    <row r="19" spans="1:9" ht="16.5" customHeight="1"/>
    <row r="20" spans="1:9" ht="16.5" customHeight="1"/>
    <row r="21" spans="1:9" ht="16.5" customHeight="1"/>
    <row r="22" spans="1:9" ht="16.5" customHeight="1"/>
    <row r="23" spans="1:9" ht="16.5" customHeight="1"/>
    <row r="24" spans="1:9" ht="16.5" customHeight="1"/>
    <row r="25" spans="1:9" ht="16.5" customHeight="1"/>
    <row r="26" spans="1:9" ht="16.5" customHeight="1"/>
    <row r="27" spans="1:9" ht="16.5" customHeight="1"/>
    <row r="28" spans="1:9" ht="16.5" customHeight="1"/>
    <row r="29" spans="1:9" ht="16.5" customHeight="1"/>
    <row r="30" spans="1:9" ht="16.5" customHeight="1"/>
  </sheetData>
  <mergeCells count="15">
    <mergeCell ref="A17:D17"/>
    <mergeCell ref="F6:F10"/>
    <mergeCell ref="A11:D11"/>
    <mergeCell ref="A16:D16"/>
    <mergeCell ref="G6:G10"/>
    <mergeCell ref="D12:D13"/>
    <mergeCell ref="C14:D14"/>
    <mergeCell ref="F12:F13"/>
    <mergeCell ref="B1:E1"/>
    <mergeCell ref="A3:G3"/>
    <mergeCell ref="A12:A15"/>
    <mergeCell ref="B12:B15"/>
    <mergeCell ref="A6:A10"/>
    <mergeCell ref="B6:B10"/>
    <mergeCell ref="C6:C10"/>
  </mergeCells>
  <phoneticPr fontId="2" type="noConversion"/>
  <pageMargins left="0.25" right="0.25" top="0.75" bottom="0.75" header="0.3" footer="0.3"/>
  <pageSetup paperSize="9" scale="93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5A37-5BC9-4F7B-95B6-A8A8B01D62B3}">
  <dimension ref="A1:C15"/>
  <sheetViews>
    <sheetView showGridLines="0" view="pageBreakPreview" zoomScaleNormal="100" zoomScaleSheetLayoutView="100" workbookViewId="0">
      <selection activeCell="D15" sqref="D15"/>
    </sheetView>
  </sheetViews>
  <sheetFormatPr defaultRowHeight="16.5"/>
  <cols>
    <col min="1" max="1" width="18.375" style="99" customWidth="1"/>
    <col min="2" max="2" width="24.125" style="78" customWidth="1"/>
    <col min="3" max="3" width="60.625" customWidth="1"/>
  </cols>
  <sheetData>
    <row r="1" spans="1:3" ht="39.950000000000003" customHeight="1">
      <c r="A1" s="73" t="s">
        <v>107</v>
      </c>
      <c r="B1" s="73"/>
      <c r="C1" s="73"/>
    </row>
    <row r="2" spans="1:3" ht="24.95" customHeight="1"/>
    <row r="3" spans="1:3" s="76" customFormat="1" ht="24.95" customHeight="1">
      <c r="A3" s="74" t="s">
        <v>108</v>
      </c>
      <c r="B3" s="75" t="s">
        <v>109</v>
      </c>
    </row>
    <row r="4" spans="1:3" s="76" customFormat="1" ht="24.95" customHeight="1">
      <c r="A4" s="74" t="s">
        <v>110</v>
      </c>
      <c r="B4" s="75" t="s">
        <v>111</v>
      </c>
    </row>
    <row r="5" spans="1:3" ht="24.95" customHeight="1" thickBot="1">
      <c r="A5" s="77"/>
    </row>
    <row r="6" spans="1:3" ht="24" customHeight="1" thickBot="1">
      <c r="A6" s="79" t="s">
        <v>112</v>
      </c>
      <c r="B6" s="80" t="s">
        <v>113</v>
      </c>
      <c r="C6" s="81" t="s">
        <v>114</v>
      </c>
    </row>
    <row r="7" spans="1:3" ht="30" customHeight="1" thickTop="1">
      <c r="A7" s="82" t="s">
        <v>105</v>
      </c>
      <c r="B7" s="83">
        <v>200000</v>
      </c>
      <c r="C7" s="84" t="s">
        <v>115</v>
      </c>
    </row>
    <row r="8" spans="1:3" ht="30" customHeight="1">
      <c r="A8" s="100" t="s">
        <v>106</v>
      </c>
      <c r="B8" s="101">
        <v>3600000</v>
      </c>
      <c r="C8" s="110" t="s">
        <v>116</v>
      </c>
    </row>
    <row r="9" spans="1:3" ht="30" customHeight="1">
      <c r="A9" s="85" t="s">
        <v>103</v>
      </c>
      <c r="B9" s="86">
        <v>220000</v>
      </c>
      <c r="C9" s="87" t="s">
        <v>117</v>
      </c>
    </row>
    <row r="10" spans="1:3" s="92" customFormat="1" ht="30" customHeight="1">
      <c r="A10" s="88" t="s">
        <v>101</v>
      </c>
      <c r="B10" s="89">
        <v>180000</v>
      </c>
      <c r="C10" s="90" t="s">
        <v>118</v>
      </c>
    </row>
    <row r="11" spans="1:3" ht="30" customHeight="1" thickBot="1">
      <c r="A11" s="93" t="s">
        <v>119</v>
      </c>
      <c r="B11" s="94">
        <v>800000</v>
      </c>
      <c r="C11" s="95" t="s">
        <v>120</v>
      </c>
    </row>
    <row r="12" spans="1:3" ht="30" customHeight="1" thickTop="1" thickBot="1">
      <c r="A12" s="96" t="s">
        <v>121</v>
      </c>
      <c r="B12" s="97">
        <f>SUM(B7:B11)</f>
        <v>5000000</v>
      </c>
      <c r="C12" s="98"/>
    </row>
    <row r="13" spans="1:3" ht="30" customHeight="1"/>
    <row r="14" spans="1:3" ht="30" customHeight="1">
      <c r="A14" s="91" t="s">
        <v>123</v>
      </c>
    </row>
    <row r="15" spans="1:3" ht="30" customHeight="1"/>
  </sheetData>
  <mergeCells count="1">
    <mergeCell ref="A1:C1"/>
  </mergeCells>
  <phoneticPr fontId="2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D481-337E-4979-986C-1AE484333785}">
  <sheetPr>
    <pageSetUpPr fitToPage="1"/>
  </sheetPr>
  <dimension ref="A1:Q37"/>
  <sheetViews>
    <sheetView showGridLines="0" view="pageBreakPreview" topLeftCell="A2" zoomScale="69" zoomScaleNormal="85" zoomScaleSheetLayoutView="69" workbookViewId="0">
      <selection activeCell="K11" sqref="K11"/>
    </sheetView>
  </sheetViews>
  <sheetFormatPr defaultColWidth="9" defaultRowHeight="0" customHeight="1" zeroHeight="1"/>
  <cols>
    <col min="1" max="1" width="17.75" customWidth="1"/>
    <col min="2" max="2" width="24.125" customWidth="1"/>
    <col min="3" max="3" width="21" customWidth="1"/>
    <col min="4" max="4" width="12.375" customWidth="1"/>
    <col min="5" max="5" width="17" customWidth="1"/>
    <col min="6" max="6" width="16.875" customWidth="1"/>
    <col min="7" max="8" width="14.75" customWidth="1"/>
    <col min="9" max="9" width="16.875" customWidth="1"/>
    <col min="10" max="11" width="16.25" customWidth="1"/>
    <col min="12" max="12" width="14.875" customWidth="1"/>
    <col min="13" max="13" width="17.125" customWidth="1"/>
    <col min="14" max="14" width="15.375" customWidth="1"/>
    <col min="15" max="15" width="11.25" style="5" customWidth="1"/>
    <col min="16" max="16" width="0.125" hidden="1" customWidth="1"/>
    <col min="19" max="19" width="13.75" bestFit="1" customWidth="1"/>
    <col min="20" max="20" width="10" bestFit="1" customWidth="1"/>
  </cols>
  <sheetData>
    <row r="1" spans="1:17" ht="23.25" hidden="1" customHeight="1" thickBot="1">
      <c r="A1" s="61"/>
      <c r="B1" s="61"/>
      <c r="C1" s="61"/>
      <c r="D1" s="61"/>
      <c r="E1" s="58"/>
      <c r="F1" s="2"/>
      <c r="G1" s="2"/>
      <c r="H1" s="2"/>
      <c r="I1" s="2"/>
      <c r="J1" s="3">
        <v>50000</v>
      </c>
      <c r="K1" s="2"/>
      <c r="L1" s="2"/>
      <c r="M1" s="4"/>
      <c r="N1" s="4"/>
    </row>
    <row r="2" spans="1:17" ht="56.25" customHeight="1" thickBot="1">
      <c r="A2" s="16" t="s">
        <v>1</v>
      </c>
      <c r="B2" s="16" t="s">
        <v>2</v>
      </c>
      <c r="C2" s="16" t="s">
        <v>3</v>
      </c>
      <c r="D2" s="17" t="s">
        <v>4</v>
      </c>
      <c r="E2" s="48" t="s">
        <v>82</v>
      </c>
      <c r="F2" s="26" t="s">
        <v>67</v>
      </c>
      <c r="G2" s="27" t="s">
        <v>68</v>
      </c>
      <c r="H2" s="39" t="s">
        <v>72</v>
      </c>
      <c r="I2" s="32" t="s">
        <v>71</v>
      </c>
      <c r="J2" s="32" t="s">
        <v>79</v>
      </c>
      <c r="K2" s="32" t="s">
        <v>66</v>
      </c>
      <c r="L2" s="33" t="s">
        <v>5</v>
      </c>
      <c r="M2" s="34" t="s">
        <v>6</v>
      </c>
      <c r="N2" s="42" t="s">
        <v>70</v>
      </c>
      <c r="O2" s="18" t="s">
        <v>7</v>
      </c>
    </row>
    <row r="3" spans="1:17" ht="28.5" customHeight="1" thickTop="1">
      <c r="A3" s="43" t="s">
        <v>8</v>
      </c>
      <c r="B3" s="43" t="s">
        <v>9</v>
      </c>
      <c r="C3" s="43" t="s">
        <v>10</v>
      </c>
      <c r="D3" s="44" t="s">
        <v>11</v>
      </c>
      <c r="E3" s="51">
        <v>10</v>
      </c>
      <c r="F3" s="25">
        <v>3500000</v>
      </c>
      <c r="G3" s="28">
        <v>1</v>
      </c>
      <c r="H3" s="40">
        <v>1</v>
      </c>
      <c r="I3" s="29">
        <f>F3*H3</f>
        <v>3500000</v>
      </c>
      <c r="J3" s="45">
        <f>E3*36000</f>
        <v>360000</v>
      </c>
      <c r="K3" s="45">
        <v>3000000</v>
      </c>
      <c r="L3" s="45">
        <v>0</v>
      </c>
      <c r="M3" s="47">
        <f>SUM(I3:L3)</f>
        <v>6860000</v>
      </c>
      <c r="N3" s="55">
        <v>3000000</v>
      </c>
      <c r="O3" s="46"/>
    </row>
    <row r="4" spans="1:17" ht="28.5" customHeight="1">
      <c r="A4" s="43" t="s">
        <v>73</v>
      </c>
      <c r="B4" s="43" t="s">
        <v>74</v>
      </c>
      <c r="C4" s="43" t="s">
        <v>75</v>
      </c>
      <c r="D4" s="44" t="s">
        <v>76</v>
      </c>
      <c r="E4" s="51">
        <v>137</v>
      </c>
      <c r="F4" s="25">
        <v>3500000</v>
      </c>
      <c r="G4" s="28">
        <v>0.99</v>
      </c>
      <c r="H4" s="40">
        <v>1</v>
      </c>
      <c r="I4" s="29">
        <f>F4*H4</f>
        <v>3500000</v>
      </c>
      <c r="J4" s="45">
        <f t="shared" ref="J4:J13" si="0">E4*36000</f>
        <v>4932000</v>
      </c>
      <c r="K4" s="31" t="s">
        <v>61</v>
      </c>
      <c r="L4" s="45">
        <v>0</v>
      </c>
      <c r="M4" s="47">
        <f>SUM(I4:L4)</f>
        <v>8432000</v>
      </c>
      <c r="N4" s="54">
        <v>7000000</v>
      </c>
      <c r="O4" s="46"/>
    </row>
    <row r="5" spans="1:17" ht="28.5" customHeight="1">
      <c r="A5" s="10" t="s">
        <v>12</v>
      </c>
      <c r="B5" s="10" t="s">
        <v>13</v>
      </c>
      <c r="C5" s="10" t="s">
        <v>14</v>
      </c>
      <c r="D5" s="11" t="s">
        <v>15</v>
      </c>
      <c r="E5" s="52">
        <v>141</v>
      </c>
      <c r="F5" s="25">
        <v>3500000</v>
      </c>
      <c r="G5" s="28">
        <v>0.99</v>
      </c>
      <c r="H5" s="40">
        <v>1</v>
      </c>
      <c r="I5" s="29">
        <f>F5*H5</f>
        <v>3500000</v>
      </c>
      <c r="J5" s="45">
        <f t="shared" si="0"/>
        <v>5076000</v>
      </c>
      <c r="K5" s="29">
        <v>7000000</v>
      </c>
      <c r="L5" s="29">
        <v>0</v>
      </c>
      <c r="M5" s="47">
        <f>SUM(I5:L5)</f>
        <v>15576000</v>
      </c>
      <c r="N5" s="35">
        <v>14700000</v>
      </c>
      <c r="O5" s="19"/>
      <c r="Q5" s="6"/>
    </row>
    <row r="6" spans="1:17" ht="28.5" customHeight="1">
      <c r="A6" s="10" t="s">
        <v>80</v>
      </c>
      <c r="B6" s="10" t="s">
        <v>81</v>
      </c>
      <c r="C6" s="10" t="s">
        <v>32</v>
      </c>
      <c r="D6" s="11" t="s">
        <v>33</v>
      </c>
      <c r="E6" s="52">
        <v>32</v>
      </c>
      <c r="F6" s="25">
        <v>3500000</v>
      </c>
      <c r="G6" s="28">
        <v>0.99</v>
      </c>
      <c r="H6" s="40">
        <v>1</v>
      </c>
      <c r="I6" s="29">
        <f t="shared" ref="I6:I13" si="1">F6*H6</f>
        <v>3500000</v>
      </c>
      <c r="J6" s="45">
        <f t="shared" si="0"/>
        <v>1152000</v>
      </c>
      <c r="K6" s="29">
        <v>3000000</v>
      </c>
      <c r="L6" s="29">
        <v>0</v>
      </c>
      <c r="M6" s="47">
        <f t="shared" ref="M6:M13" si="2">SUM(I6:L6)</f>
        <v>7652000</v>
      </c>
      <c r="N6" s="35">
        <v>4250000</v>
      </c>
      <c r="O6" s="19"/>
      <c r="Q6" s="6"/>
    </row>
    <row r="7" spans="1:17" ht="28.5" customHeight="1">
      <c r="A7" s="10" t="s">
        <v>34</v>
      </c>
      <c r="B7" s="10" t="s">
        <v>35</v>
      </c>
      <c r="C7" s="12" t="s">
        <v>36</v>
      </c>
      <c r="D7" s="11" t="s">
        <v>37</v>
      </c>
      <c r="E7" s="52">
        <v>122</v>
      </c>
      <c r="F7" s="25">
        <v>3500000</v>
      </c>
      <c r="G7" s="28">
        <v>1</v>
      </c>
      <c r="H7" s="40">
        <v>1</v>
      </c>
      <c r="I7" s="29">
        <f t="shared" si="1"/>
        <v>3500000</v>
      </c>
      <c r="J7" s="45">
        <f t="shared" si="0"/>
        <v>4392000</v>
      </c>
      <c r="K7" s="29">
        <v>7000000</v>
      </c>
      <c r="L7" s="29">
        <v>0</v>
      </c>
      <c r="M7" s="47">
        <f t="shared" si="2"/>
        <v>14892000</v>
      </c>
      <c r="N7" s="35">
        <v>14190000</v>
      </c>
      <c r="O7" s="22"/>
      <c r="Q7" s="6"/>
    </row>
    <row r="8" spans="1:17" ht="28.5" customHeight="1">
      <c r="A8" s="10" t="s">
        <v>16</v>
      </c>
      <c r="B8" s="10" t="s">
        <v>17</v>
      </c>
      <c r="C8" s="12" t="s">
        <v>18</v>
      </c>
      <c r="D8" s="11" t="s">
        <v>15</v>
      </c>
      <c r="E8" s="52">
        <v>165</v>
      </c>
      <c r="F8" s="25">
        <v>3500000</v>
      </c>
      <c r="G8" s="28">
        <v>1</v>
      </c>
      <c r="H8" s="40">
        <v>1</v>
      </c>
      <c r="I8" s="29">
        <f t="shared" si="1"/>
        <v>3500000</v>
      </c>
      <c r="J8" s="45">
        <f t="shared" si="0"/>
        <v>5940000</v>
      </c>
      <c r="K8" s="29">
        <v>3000000</v>
      </c>
      <c r="L8" s="29">
        <v>0</v>
      </c>
      <c r="M8" s="47">
        <f t="shared" si="2"/>
        <v>12440000</v>
      </c>
      <c r="N8" s="36">
        <v>7940000</v>
      </c>
      <c r="O8" s="20"/>
      <c r="Q8" s="6"/>
    </row>
    <row r="9" spans="1:17" ht="28.5" customHeight="1">
      <c r="A9" s="13" t="s">
        <v>16</v>
      </c>
      <c r="B9" s="13" t="s">
        <v>19</v>
      </c>
      <c r="C9" s="13" t="s">
        <v>20</v>
      </c>
      <c r="D9" s="14" t="s">
        <v>21</v>
      </c>
      <c r="E9" s="52">
        <v>207</v>
      </c>
      <c r="F9" s="25">
        <v>3500000</v>
      </c>
      <c r="G9" s="28">
        <v>0.6</v>
      </c>
      <c r="H9" s="40">
        <v>0.7</v>
      </c>
      <c r="I9" s="29">
        <f t="shared" si="1"/>
        <v>2450000</v>
      </c>
      <c r="J9" s="45">
        <f t="shared" si="0"/>
        <v>7452000</v>
      </c>
      <c r="K9" s="29">
        <v>0</v>
      </c>
      <c r="L9" s="30">
        <v>0</v>
      </c>
      <c r="M9" s="47">
        <f t="shared" si="2"/>
        <v>9902000</v>
      </c>
      <c r="N9" s="35">
        <v>6840000</v>
      </c>
      <c r="O9" s="21"/>
      <c r="Q9" s="6"/>
    </row>
    <row r="10" spans="1:17" ht="28.5" customHeight="1">
      <c r="A10" s="13" t="s">
        <v>16</v>
      </c>
      <c r="B10" s="13" t="s">
        <v>19</v>
      </c>
      <c r="C10" s="13" t="s">
        <v>59</v>
      </c>
      <c r="D10" s="14" t="s">
        <v>60</v>
      </c>
      <c r="E10" s="52">
        <v>56</v>
      </c>
      <c r="F10" s="25">
        <v>3500000</v>
      </c>
      <c r="G10" s="28">
        <v>0.99</v>
      </c>
      <c r="H10" s="40">
        <v>1</v>
      </c>
      <c r="I10" s="29">
        <f>F10*H10</f>
        <v>3500000</v>
      </c>
      <c r="J10" s="45">
        <f t="shared" si="0"/>
        <v>2016000</v>
      </c>
      <c r="K10" s="29">
        <v>3000000</v>
      </c>
      <c r="L10" s="30">
        <v>0</v>
      </c>
      <c r="M10" s="47">
        <f t="shared" si="2"/>
        <v>8516000</v>
      </c>
      <c r="N10" s="35">
        <v>1520000</v>
      </c>
      <c r="O10" s="21"/>
      <c r="Q10" s="6"/>
    </row>
    <row r="11" spans="1:17" ht="28.5" customHeight="1">
      <c r="A11" s="13" t="s">
        <v>16</v>
      </c>
      <c r="B11" s="15" t="s">
        <v>22</v>
      </c>
      <c r="C11" s="13" t="s">
        <v>23</v>
      </c>
      <c r="D11" s="14" t="s">
        <v>24</v>
      </c>
      <c r="E11" s="52">
        <v>263</v>
      </c>
      <c r="F11" s="25">
        <v>3500000</v>
      </c>
      <c r="G11" s="28">
        <v>0.85</v>
      </c>
      <c r="H11" s="40">
        <v>0.9</v>
      </c>
      <c r="I11" s="29">
        <f>F11*H11</f>
        <v>3150000</v>
      </c>
      <c r="J11" s="45">
        <f t="shared" si="0"/>
        <v>9468000</v>
      </c>
      <c r="K11" s="29">
        <v>3000000</v>
      </c>
      <c r="L11" s="30">
        <v>0</v>
      </c>
      <c r="M11" s="47">
        <f t="shared" si="2"/>
        <v>15618000</v>
      </c>
      <c r="N11" s="35">
        <v>9320000</v>
      </c>
      <c r="O11" s="21"/>
      <c r="Q11" s="6"/>
    </row>
    <row r="12" spans="1:17" ht="28.5" customHeight="1">
      <c r="A12" s="10" t="s">
        <v>80</v>
      </c>
      <c r="B12" s="10" t="s">
        <v>81</v>
      </c>
      <c r="C12" s="10" t="s">
        <v>29</v>
      </c>
      <c r="D12" s="11" t="s">
        <v>30</v>
      </c>
      <c r="E12" s="52">
        <v>98</v>
      </c>
      <c r="F12" s="25">
        <v>3500000</v>
      </c>
      <c r="G12" s="28">
        <v>1</v>
      </c>
      <c r="H12" s="40">
        <v>1</v>
      </c>
      <c r="I12" s="29">
        <f t="shared" si="1"/>
        <v>3500000</v>
      </c>
      <c r="J12" s="45">
        <f t="shared" si="0"/>
        <v>3528000</v>
      </c>
      <c r="K12" s="29">
        <v>7000000</v>
      </c>
      <c r="L12" s="29">
        <v>0</v>
      </c>
      <c r="M12" s="47">
        <f t="shared" si="2"/>
        <v>14028000</v>
      </c>
      <c r="N12" s="35">
        <v>9680000</v>
      </c>
      <c r="O12" s="19"/>
      <c r="Q12" s="6"/>
    </row>
    <row r="13" spans="1:17" ht="28.5" customHeight="1">
      <c r="A13" s="10" t="s">
        <v>25</v>
      </c>
      <c r="B13" s="10" t="s">
        <v>26</v>
      </c>
      <c r="C13" s="10" t="s">
        <v>27</v>
      </c>
      <c r="D13" s="11" t="s">
        <v>28</v>
      </c>
      <c r="E13" s="52">
        <v>36</v>
      </c>
      <c r="F13" s="25">
        <v>3500000</v>
      </c>
      <c r="G13" s="28">
        <v>1</v>
      </c>
      <c r="H13" s="40">
        <v>1</v>
      </c>
      <c r="I13" s="29">
        <f t="shared" si="1"/>
        <v>3500000</v>
      </c>
      <c r="J13" s="45">
        <f t="shared" si="0"/>
        <v>1296000</v>
      </c>
      <c r="K13" s="29">
        <v>3000000</v>
      </c>
      <c r="L13" s="29">
        <v>0</v>
      </c>
      <c r="M13" s="47">
        <f t="shared" si="2"/>
        <v>7796000</v>
      </c>
      <c r="N13" s="35">
        <v>8180000</v>
      </c>
      <c r="O13" s="19"/>
      <c r="Q13" s="6"/>
    </row>
    <row r="14" spans="1:17" ht="28.5" customHeight="1">
      <c r="A14" s="12" t="s">
        <v>8</v>
      </c>
      <c r="B14" s="12" t="s">
        <v>38</v>
      </c>
      <c r="C14" s="12" t="s">
        <v>39</v>
      </c>
      <c r="D14" s="12" t="s">
        <v>11</v>
      </c>
      <c r="E14" s="52">
        <v>17</v>
      </c>
      <c r="F14" s="25">
        <v>2500000</v>
      </c>
      <c r="G14" s="28">
        <v>0.99</v>
      </c>
      <c r="H14" s="40">
        <v>1</v>
      </c>
      <c r="I14" s="29">
        <f>F14*H14</f>
        <v>2500000</v>
      </c>
      <c r="J14" s="29">
        <f>E14*36000</f>
        <v>612000</v>
      </c>
      <c r="K14" s="29">
        <v>3000000</v>
      </c>
      <c r="L14" s="29">
        <v>0</v>
      </c>
      <c r="M14" s="47">
        <f>SUM(I14:L14)</f>
        <v>6112000</v>
      </c>
      <c r="N14" s="54">
        <v>4000000</v>
      </c>
      <c r="O14" s="19"/>
      <c r="Q14" s="6"/>
    </row>
    <row r="15" spans="1:17" ht="28.5" customHeight="1">
      <c r="A15" s="10" t="s">
        <v>80</v>
      </c>
      <c r="B15" s="10" t="s">
        <v>81</v>
      </c>
      <c r="C15" s="12" t="s">
        <v>40</v>
      </c>
      <c r="D15" s="10" t="s">
        <v>41</v>
      </c>
      <c r="E15" s="52">
        <v>10</v>
      </c>
      <c r="F15" s="25">
        <v>2500000</v>
      </c>
      <c r="G15" s="50">
        <v>0.9</v>
      </c>
      <c r="H15" s="49">
        <v>1</v>
      </c>
      <c r="I15" s="29">
        <f>F15*H15</f>
        <v>2500000</v>
      </c>
      <c r="J15" s="29">
        <f t="shared" ref="J15:J25" si="3">E15*36000</f>
        <v>360000</v>
      </c>
      <c r="K15" s="29">
        <v>3000000</v>
      </c>
      <c r="L15" s="29">
        <v>0</v>
      </c>
      <c r="M15" s="47">
        <f>SUM(I15:L15)</f>
        <v>5860000</v>
      </c>
      <c r="N15" s="36">
        <v>4710000</v>
      </c>
      <c r="O15" s="20"/>
      <c r="Q15" s="6"/>
    </row>
    <row r="16" spans="1:17" ht="28.5" customHeight="1">
      <c r="A16" s="10" t="s">
        <v>8</v>
      </c>
      <c r="B16" s="10" t="s">
        <v>42</v>
      </c>
      <c r="C16" s="10" t="s">
        <v>43</v>
      </c>
      <c r="D16" s="10" t="s">
        <v>44</v>
      </c>
      <c r="E16" s="52">
        <v>19</v>
      </c>
      <c r="F16" s="25">
        <v>2500000</v>
      </c>
      <c r="G16" s="50">
        <v>1</v>
      </c>
      <c r="H16" s="49">
        <v>1</v>
      </c>
      <c r="I16" s="29">
        <f t="shared" ref="I16:I24" si="4">F16*H16</f>
        <v>2500000</v>
      </c>
      <c r="J16" s="29">
        <f t="shared" si="3"/>
        <v>684000</v>
      </c>
      <c r="K16" s="29">
        <v>3000000</v>
      </c>
      <c r="L16" s="29">
        <v>0</v>
      </c>
      <c r="M16" s="47">
        <f>SUM(I16:L16)</f>
        <v>6184000</v>
      </c>
      <c r="N16" s="35">
        <v>9850000</v>
      </c>
      <c r="O16" s="19"/>
      <c r="Q16" s="6"/>
    </row>
    <row r="17" spans="1:17" ht="28.5" customHeight="1">
      <c r="A17" s="10" t="s">
        <v>8</v>
      </c>
      <c r="B17" s="10" t="s">
        <v>42</v>
      </c>
      <c r="C17" s="10" t="s">
        <v>77</v>
      </c>
      <c r="D17" s="10" t="s">
        <v>78</v>
      </c>
      <c r="E17" s="52">
        <v>15</v>
      </c>
      <c r="F17" s="25">
        <v>2500000</v>
      </c>
      <c r="G17" s="50">
        <v>1</v>
      </c>
      <c r="H17" s="49">
        <v>1</v>
      </c>
      <c r="I17" s="29">
        <f t="shared" si="4"/>
        <v>2500000</v>
      </c>
      <c r="J17" s="29">
        <f t="shared" si="3"/>
        <v>540000</v>
      </c>
      <c r="K17" s="31" t="s">
        <v>61</v>
      </c>
      <c r="L17" s="56">
        <v>2000000</v>
      </c>
      <c r="M17" s="47">
        <f>SUM(I17:L17)</f>
        <v>5040000</v>
      </c>
      <c r="N17" s="35">
        <v>0</v>
      </c>
      <c r="O17" s="19"/>
      <c r="Q17" s="6"/>
    </row>
    <row r="18" spans="1:17" ht="28.5" customHeight="1">
      <c r="A18" s="12" t="s">
        <v>8</v>
      </c>
      <c r="B18" s="12" t="s">
        <v>45</v>
      </c>
      <c r="C18" s="12" t="s">
        <v>46</v>
      </c>
      <c r="D18" s="12" t="s">
        <v>11</v>
      </c>
      <c r="E18" s="52">
        <v>43</v>
      </c>
      <c r="F18" s="25">
        <v>2500000</v>
      </c>
      <c r="G18" s="50">
        <v>0.75</v>
      </c>
      <c r="H18" s="49">
        <v>0.8</v>
      </c>
      <c r="I18" s="29">
        <f t="shared" si="4"/>
        <v>2000000</v>
      </c>
      <c r="J18" s="29">
        <f t="shared" si="3"/>
        <v>1548000</v>
      </c>
      <c r="K18" s="29">
        <v>7000000</v>
      </c>
      <c r="L18" s="29">
        <v>0</v>
      </c>
      <c r="M18" s="47">
        <f>SUM(I18:L18)</f>
        <v>10548000</v>
      </c>
      <c r="N18" s="54">
        <v>6000000</v>
      </c>
      <c r="O18" s="19"/>
      <c r="Q18" s="6"/>
    </row>
    <row r="19" spans="1:17" ht="28.5" customHeight="1">
      <c r="A19" s="12" t="s">
        <v>12</v>
      </c>
      <c r="B19" s="10" t="s">
        <v>50</v>
      </c>
      <c r="C19" s="10" t="s">
        <v>51</v>
      </c>
      <c r="D19" s="10" t="s">
        <v>52</v>
      </c>
      <c r="E19" s="52">
        <v>243</v>
      </c>
      <c r="F19" s="25">
        <v>2500000</v>
      </c>
      <c r="G19" s="28">
        <v>1</v>
      </c>
      <c r="H19" s="40">
        <v>1</v>
      </c>
      <c r="I19" s="29">
        <f t="shared" si="4"/>
        <v>2500000</v>
      </c>
      <c r="J19" s="29">
        <f t="shared" si="3"/>
        <v>8748000</v>
      </c>
      <c r="K19" s="29">
        <v>7000000</v>
      </c>
      <c r="L19" s="29">
        <v>0</v>
      </c>
      <c r="M19" s="47">
        <f t="shared" ref="M19:M25" si="5">SUM(I19:L19)</f>
        <v>18248000</v>
      </c>
      <c r="N19" s="35">
        <v>12910000</v>
      </c>
      <c r="O19" s="19"/>
      <c r="Q19" s="6"/>
    </row>
    <row r="20" spans="1:17" ht="28.5" customHeight="1">
      <c r="A20" s="10" t="s">
        <v>12</v>
      </c>
      <c r="B20" s="10" t="s">
        <v>48</v>
      </c>
      <c r="C20" s="10" t="s">
        <v>49</v>
      </c>
      <c r="D20" s="12" t="s">
        <v>28</v>
      </c>
      <c r="E20" s="52">
        <v>73</v>
      </c>
      <c r="F20" s="25">
        <v>2500000</v>
      </c>
      <c r="G20" s="28">
        <v>1</v>
      </c>
      <c r="H20" s="40">
        <v>1</v>
      </c>
      <c r="I20" s="29">
        <f>F20*H20</f>
        <v>2500000</v>
      </c>
      <c r="J20" s="29">
        <f t="shared" si="3"/>
        <v>2628000</v>
      </c>
      <c r="K20" s="29">
        <v>7000000</v>
      </c>
      <c r="L20" s="29">
        <v>0</v>
      </c>
      <c r="M20" s="47">
        <f t="shared" si="5"/>
        <v>12128000</v>
      </c>
      <c r="N20" s="35">
        <v>9330000</v>
      </c>
      <c r="O20" s="19"/>
      <c r="Q20" s="6"/>
    </row>
    <row r="21" spans="1:17" ht="28.5" customHeight="1">
      <c r="A21" s="10" t="s">
        <v>80</v>
      </c>
      <c r="B21" s="10" t="s">
        <v>81</v>
      </c>
      <c r="C21" s="13" t="s">
        <v>53</v>
      </c>
      <c r="D21" s="13" t="s">
        <v>21</v>
      </c>
      <c r="E21" s="52">
        <v>19</v>
      </c>
      <c r="F21" s="25">
        <v>2500000</v>
      </c>
      <c r="G21" s="28">
        <v>1</v>
      </c>
      <c r="H21" s="40">
        <v>1</v>
      </c>
      <c r="I21" s="29">
        <f t="shared" ref="I21:I22" si="6">F21*H21</f>
        <v>2500000</v>
      </c>
      <c r="J21" s="29">
        <f t="shared" si="3"/>
        <v>684000</v>
      </c>
      <c r="K21" s="29">
        <v>3000000</v>
      </c>
      <c r="L21" s="30">
        <v>0</v>
      </c>
      <c r="M21" s="47">
        <f>SUM(I21:L21)</f>
        <v>6184000</v>
      </c>
      <c r="N21" s="35">
        <v>2830000</v>
      </c>
      <c r="O21" s="23"/>
      <c r="Q21" s="6"/>
    </row>
    <row r="22" spans="1:17" ht="28.5" customHeight="1">
      <c r="A22" s="10" t="s">
        <v>80</v>
      </c>
      <c r="B22" s="10" t="s">
        <v>81</v>
      </c>
      <c r="C22" s="10" t="s">
        <v>47</v>
      </c>
      <c r="D22" s="10" t="s">
        <v>28</v>
      </c>
      <c r="E22" s="52">
        <v>32</v>
      </c>
      <c r="F22" s="25">
        <v>2500000</v>
      </c>
      <c r="G22" s="28">
        <v>1</v>
      </c>
      <c r="H22" s="40">
        <v>1</v>
      </c>
      <c r="I22" s="29">
        <f t="shared" si="6"/>
        <v>2500000</v>
      </c>
      <c r="J22" s="29">
        <f t="shared" si="3"/>
        <v>1152000</v>
      </c>
      <c r="K22" s="29">
        <v>3000000</v>
      </c>
      <c r="L22" s="29">
        <v>0</v>
      </c>
      <c r="M22" s="47">
        <f>SUM(I22:L22)</f>
        <v>6652000</v>
      </c>
      <c r="N22" s="35">
        <v>6200000</v>
      </c>
      <c r="O22" s="19"/>
      <c r="Q22" s="6"/>
    </row>
    <row r="23" spans="1:17" ht="28.5" customHeight="1">
      <c r="A23" s="13" t="s">
        <v>31</v>
      </c>
      <c r="B23" s="13" t="s">
        <v>54</v>
      </c>
      <c r="C23" s="13" t="s">
        <v>55</v>
      </c>
      <c r="D23" s="13" t="s">
        <v>52</v>
      </c>
      <c r="E23" s="52">
        <v>18</v>
      </c>
      <c r="F23" s="25">
        <v>2500000</v>
      </c>
      <c r="G23" s="28">
        <v>1</v>
      </c>
      <c r="H23" s="40">
        <v>1</v>
      </c>
      <c r="I23" s="29">
        <f t="shared" si="4"/>
        <v>2500000</v>
      </c>
      <c r="J23" s="29">
        <f t="shared" si="3"/>
        <v>648000</v>
      </c>
      <c r="K23" s="29">
        <v>7000000</v>
      </c>
      <c r="L23" s="30">
        <v>0</v>
      </c>
      <c r="M23" s="47">
        <f t="shared" si="5"/>
        <v>10148000</v>
      </c>
      <c r="N23" s="35">
        <v>10100000</v>
      </c>
      <c r="O23" s="23"/>
      <c r="Q23" s="6"/>
    </row>
    <row r="24" spans="1:17" ht="28.5" customHeight="1">
      <c r="A24" s="10" t="s">
        <v>31</v>
      </c>
      <c r="B24" s="10" t="s">
        <v>56</v>
      </c>
      <c r="C24" s="10" t="s">
        <v>57</v>
      </c>
      <c r="D24" s="10" t="s">
        <v>58</v>
      </c>
      <c r="E24" s="52">
        <v>67</v>
      </c>
      <c r="F24" s="25">
        <v>2500000</v>
      </c>
      <c r="G24" s="28">
        <v>0.99</v>
      </c>
      <c r="H24" s="40">
        <v>1</v>
      </c>
      <c r="I24" s="29">
        <f t="shared" si="4"/>
        <v>2500000</v>
      </c>
      <c r="J24" s="29">
        <f t="shared" si="3"/>
        <v>2412000</v>
      </c>
      <c r="K24" s="29">
        <v>7000000</v>
      </c>
      <c r="L24" s="29">
        <v>0</v>
      </c>
      <c r="M24" s="47">
        <f>SUM(I24:L24)</f>
        <v>11912000</v>
      </c>
      <c r="N24" s="35">
        <v>7300000</v>
      </c>
      <c r="O24" s="24"/>
      <c r="Q24" s="6"/>
    </row>
    <row r="25" spans="1:17" ht="28.5" customHeight="1">
      <c r="A25" s="10" t="s">
        <v>62</v>
      </c>
      <c r="B25" s="10" t="s">
        <v>63</v>
      </c>
      <c r="C25" s="10" t="s">
        <v>64</v>
      </c>
      <c r="D25" s="10" t="s">
        <v>65</v>
      </c>
      <c r="E25" s="53">
        <v>24</v>
      </c>
      <c r="F25" s="25">
        <v>2500000</v>
      </c>
      <c r="G25" s="28">
        <v>1</v>
      </c>
      <c r="H25" s="41">
        <v>1</v>
      </c>
      <c r="I25" s="29">
        <f>F25*H25</f>
        <v>2500000</v>
      </c>
      <c r="J25" s="29">
        <f t="shared" si="3"/>
        <v>864000</v>
      </c>
      <c r="K25" s="31" t="s">
        <v>61</v>
      </c>
      <c r="L25" s="56">
        <v>2000000</v>
      </c>
      <c r="M25" s="47">
        <f t="shared" si="5"/>
        <v>5364000</v>
      </c>
      <c r="N25" s="38">
        <v>1950000</v>
      </c>
      <c r="O25" s="24"/>
      <c r="Q25" s="6"/>
    </row>
    <row r="26" spans="1:17" ht="16.5" customHeight="1"/>
    <row r="27" spans="1:17" ht="16.5" customHeight="1"/>
    <row r="28" spans="1:17" ht="16.5" customHeight="1"/>
    <row r="29" spans="1:17" ht="16.5" customHeight="1"/>
    <row r="30" spans="1:17" ht="16.5" customHeight="1"/>
    <row r="31" spans="1:17" ht="16.5" customHeight="1"/>
    <row r="32" spans="1:17" ht="16.5" customHeight="1"/>
    <row r="33" ht="16.5" customHeight="1"/>
    <row r="34" ht="16.5" customHeight="1"/>
    <row r="35" ht="16.5" customHeight="1"/>
    <row r="36" ht="16.5" customHeight="1"/>
    <row r="37" ht="16.5" customHeight="1"/>
  </sheetData>
  <mergeCells count="1">
    <mergeCell ref="A1:D1"/>
  </mergeCells>
  <phoneticPr fontId="2" type="noConversion"/>
  <pageMargins left="0.25" right="0.25" top="0.75" bottom="0.75" header="0.3" footer="0.3"/>
  <pageSetup paperSize="9" scale="5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뇌마음행동 예산(안)</vt:lpstr>
      <vt:lpstr>각목명세서(사회대_자체)</vt:lpstr>
      <vt:lpstr>운영지원금(1차,2차)</vt:lpstr>
      <vt:lpstr>'각목명세서(사회대_자체)'!Print_Area</vt:lpstr>
      <vt:lpstr>'뇌마음행동 예산(안)'!Print_Area</vt:lpstr>
      <vt:lpstr>'운영지원금(1차,2차)'!Print_Area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2025-05-20T02:22:19Z</cp:lastPrinted>
  <dcterms:created xsi:type="dcterms:W3CDTF">2020-04-28T01:42:23Z</dcterms:created>
  <dcterms:modified xsi:type="dcterms:W3CDTF">2025-05-30T05:49:06Z</dcterms:modified>
</cp:coreProperties>
</file>